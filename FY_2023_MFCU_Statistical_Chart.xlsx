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istical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<sst xmlns="http://schemas.openxmlformats.org/spreadsheetml/2006/main" count="79" uniqueCount="79">
  <si>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FY 2023 MFCU Statistical Chart</t>
  </si>
  <si>
    <t xml:space="preserve">State</t>
  </si>
  <si>
    <r>
      <rPr>
        <b val="true"/>
        <sz val="11"/>
        <color theme="0"/>
        <rFont val="Calibri"/>
        <family val="2"/>
        <charset val="1"/>
      </rPr>
      <t xml:space="preserve">Total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</si>
  <si>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Fraud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</si>
  <si>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r>
      <rPr>
        <b val="true"/>
        <sz val="11"/>
        <color theme="0"/>
        <rFont val="Calibri"/>
        <family val="2"/>
        <charset val="1"/>
      </rPr>
      <t xml:space="preserve">Abuse/Neglect Investigations</t>
    </r>
    <r>
      <rPr>
        <b val="true"/>
        <vertAlign val="superscript"/>
        <sz val="11"/>
        <color theme="0"/>
        <rFont val="Calibri"/>
        <family val="2"/>
        <charset val="1"/>
      </rPr>
      <t xml:space="preserve">1</t>
    </r>
  </si>
  <si>
    <t xml:space="preserve">Total Indictments</t>
  </si>
  <si>
    <t xml:space="preserve">Fraud Indictments</t>
  </si>
  <si>
    <t xml:space="preserve">Abuse/Neglect Indictments</t>
  </si>
  <si>
    <t xml:space="preserve">Total Convictions</t>
  </si>
  <si>
    <t xml:space="preserve">Fraud Convictions</t>
  </si>
  <si>
    <t xml:space="preserve">Abuse/Neglect Convictions</t>
  </si>
  <si>
    <t xml:space="preserve">Civil Settlements and Judgments</t>
  </si>
  <si>
    <r>
      <rPr>
        <b val="true"/>
        <sz val="11"/>
        <color theme="0"/>
        <rFont val="Calibri"/>
        <family val="2"/>
        <charset val="1"/>
      </rPr>
      <t xml:space="preserve">Total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</si>
  <si>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Total Criminal Recoveries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</si>
  <si>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Civil Recoveries Global</t>
    </r>
    <r>
      <rPr>
        <b val="true"/>
        <vertAlign val="superscript"/>
        <sz val="11"/>
        <color theme="0"/>
        <rFont val="Calibri"/>
        <family val="2"/>
        <charset val="1"/>
      </rPr>
      <t xml:space="preserve">2,4</t>
    </r>
  </si>
  <si>
    <r>
      <rPr>
        <b val="true"/>
        <sz val="11"/>
        <color theme="0"/>
        <rFont val="Calibri"/>
        <family val="2"/>
        <charset val="1"/>
      </rPr>
      <t xml:space="preserve">Civil Recoveries Other</t>
    </r>
    <r>
      <rPr>
        <b val="true"/>
        <vertAlign val="superscript"/>
        <sz val="11"/>
        <color theme="0"/>
        <rFont val="Calibri"/>
        <family val="2"/>
        <charset val="1"/>
      </rPr>
      <t xml:space="preserve">2</t>
    </r>
  </si>
  <si>
    <r>
      <rPr>
        <b val="true"/>
        <sz val="11"/>
        <color theme="0"/>
        <rFont val="Calibri"/>
        <family val="2"/>
        <charset val="1"/>
      </rPr>
      <t xml:space="preserve">MFCU Grant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</si>
  <si>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Total Medicaid Expenditures</t>
    </r>
    <r>
      <rPr>
        <b val="true"/>
        <vertAlign val="superscript"/>
        <sz val="11"/>
        <color theme="0"/>
        <rFont val="Calibri"/>
        <family val="2"/>
        <charset val="1"/>
      </rPr>
      <t xml:space="preserve">3</t>
    </r>
  </si>
  <si>
    <r>
      <rPr>
        <b val="true"/>
        <sz val="11"/>
        <color theme="0"/>
        <rFont val="Calibri"/>
        <family val="2"/>
        <charset val="1"/>
      </rPr>
      <t xml:space="preserve">Staff On Board</t>
    </r>
    <r>
      <rPr>
        <b val="true"/>
        <vertAlign val="superscript"/>
        <sz val="11"/>
        <color theme="0"/>
        <rFont val="Calibri"/>
        <family val="2"/>
        <charset val="1"/>
      </rPr>
      <t xml:space="preserve">5</t>
    </r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</si>
  <si>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</si>
  <si>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</si>
  <si>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</si>
  <si>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</si>
  <si>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</si>
  <si>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</si>
  <si>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</si>
  <si>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</si>
  <si>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</si>
  <si>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</si>
  <si>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</si>
  <si>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</si>
  <si>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</si>
  <si>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</si>
  <si>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</si>
  <si>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</si>
  <si>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</si>
  <si>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</si>
  <si>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</si>
  <si>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</si>
  <si>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</si>
  <si>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</si>
  <si>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</si>
  <si>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</si>
  <si>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</si>
  <si>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</si>
  <si>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</si>
  <si>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</si>
  <si>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</si>
  <si>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</si>
  <si>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</si>
  <si>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</si>
  <si>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</si>
  <si>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</si>
  <si>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</si>
  <si>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</si>
  <si>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</si>
  <si>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</si>
  <si>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</si>
  <si>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</si>
  <si>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</si>
  <si>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</si>
  <si>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</si>
  <si>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</si>
  <si>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</si>
  <si>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</si>
  <si>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</si>
  <si>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</si>
  <si>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</si>
  <si>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</si>
  <si>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</si>
  <si>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</si>
  <si>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</si>
  <si>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GRAND TOTAL</t>
  </si>
  <si>
    <r>
      <rPr>
        <vertAlign val="superscript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Investigations are defined as the total number of open investigations at the end of the fiscal year.</t>
    </r>
  </si>
  <si>
    <r>
      <rPr>
        <vertAlign val="superscript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Recoveries are defined as the amount of money that defendants are required to pay as a result of a settlement, judgment, or prefiling settlement in criminal and civil cases and may not reflect actual collections. Recoveries may involve cases that include participation by other Federal and State agencies.</t>
    </r>
  </si>
  <si>
    <r>
      <rPr>
        <vertAlign val="superscript"/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Calibri"/>
        <family val="2"/>
        <charset val="1"/>
      </rPr>
      <t xml:space="preserve"> MFCU and Medicaid Expenditures include both State and Federal expenditures.  </t>
    </r>
  </si>
  <si>
    <r>
      <rPr>
        <vertAlign val="superscript"/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Calibri"/>
        <family val="2"/>
        <charset val="1"/>
      </rPr>
      <t xml:space="preserve"> “Global” recoveries derive from civil settlements or judgments involving the U.S. Department of Justice and a group of State MFCUs and are facilitated by the National Association of Medicaid Fraud Control Units.</t>
    </r>
  </si>
  <si>
    <r>
      <rPr>
        <vertAlign val="superscript"/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Calibri"/>
        <family val="2"/>
        <charset val="1"/>
      </rPr>
      <t xml:space="preserve"> Staff on Board is defined as the total number of staff employed by the Unit at the end of the fiscal year.</t>
    </r>
  </si>
  <si>
    <t xml:space="preserve">Information in this chart, except Medicaid Expenditures, was reported to OIG by the MFCUs.  All information is current as of February 23, 2024.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</si>
</sst>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_);\(#,##0\)"/>
    <numFmt numFmtId="166" formatCode="\$#,##0_);&quot;($&quot;#,##0\)"/>
    <numFmt numFmtId="167" formatCode="#,##0"/>
    <numFmt numFmtId="168" formatCode="0.00%"/>
    <numFmt numFmtId="169" formatCode="0.0%"/>
    <numFmt numFmtId="170" formatCode="\$#,##0.00_);&quot;($&quot;#,##0.00\)"/>
  </numFmts>
  <fonts count="1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theme="8" tint="-0.25"/>
      <name val="Calibri"/>
      <family val="2"/>
      <charset val="1"/>
    </font>
    <font>
      <sz val="11"/>
      <color theme="8" tint="-0.25"/>
      <name val="Calibri"/>
      <family val="2"/>
      <charset val="1"/>
    </font>
    <font>
      <sz val="11"/>
      <color theme="5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vertAlign val="superscript"/>
      <sz val="11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444649"/>
      <name val="Calibri"/>
      <family val="2"/>
      <charset val="1"/>
    </font>
    <font>
      <b val="true"/>
      <sz val="11"/>
      <color rgb="FF444649"/>
      <name val="Calibri"/>
      <family val="2"/>
      <charset val="1"/>
    </font>
    <font>
      <vertAlign val="superscript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-0.25"/>
        <bgColor rgb="FF444649"/>
      </patternFill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11" fillId="3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11" fillId="3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46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0"/>
  <sheetViews>
    <sheetView showFormulas="false" showGridLines="true" showRowColHeaders="true" showZeros="true" rightToLeft="false" tabSelected="true" showOutlineSymbols="true" defaultGridColor="true" view="normal" topLeftCell="J35" colorId="64" zoomScale="100" zoomScaleNormal="100" zoomScalePageLayoutView="100" workbookViewId="0">
      <selection pane="topLeft" activeCell="Q56" activeCellId="0" sqref="Q56"/>
    </sheetView>
  </sheetViews>
  <sheetFormatPr defaultColWidth="8.73046875" defaultRowHeight="14.25" zeroHeight="false" outlineLevelRow="1" outlineLevelCol="0"/>
  <cols>
    <col collapsed="false" customWidth="true" hidden="false" outlineLevel="0" max="1" min="1" style="1" width="18.73"/>
    <col collapsed="false" customWidth="true" hidden="false" outlineLevel="0" max="2" min="2" style="1" width="15.82"/>
    <col collapsed="false" customWidth="true" hidden="false" outlineLevel="0" max="3" min="3" style="1" width="15.27"/>
    <col collapsed="false" customWidth="true" hidden="false" outlineLevel="0" max="4" min="4" style="1" width="18.18"/>
    <col collapsed="false" customWidth="true" hidden="false" outlineLevel="0" max="6" min="5" style="1" width="13.45"/>
    <col collapsed="false" customWidth="true" hidden="false" outlineLevel="0" max="7" min="7" style="1" width="16.18"/>
    <col collapsed="false" customWidth="true" hidden="false" outlineLevel="0" max="9" min="8" style="1" width="13.18"/>
    <col collapsed="false" customWidth="true" hidden="false" outlineLevel="0" max="10" min="10" style="1" width="15.82"/>
    <col collapsed="false" customWidth="true" hidden="false" outlineLevel="0" max="11" min="11" style="1" width="17.82"/>
    <col collapsed="false" customWidth="true" hidden="false" outlineLevel="0" max="12" min="12" style="1" width="14.18"/>
    <col collapsed="false" customWidth="true" hidden="false" outlineLevel="0" max="13" min="13" style="1" width="15.18"/>
    <col collapsed="false" customWidth="true" hidden="false" outlineLevel="0" max="15" min="14" style="1" width="16.73"/>
    <col collapsed="false" customWidth="true" hidden="false" outlineLevel="0" max="16" min="16" style="1" width="15.27"/>
    <col collapsed="false" customWidth="true" hidden="false" outlineLevel="0" max="17" min="17" style="1" width="16.18"/>
    <col collapsed="false" customWidth="true" hidden="false" outlineLevel="0" max="18" min="18" style="1" width="15.54"/>
    <col collapsed="false" customWidth="true" hidden="false" outlineLevel="0" max="19" min="19" style="1" width="13.54"/>
    <col collapsed="false" customWidth="false" hidden="false" outlineLevel="0" max="16384" min="20" style="1" width="8.73"/>
  </cols>
  <sheetData>
    <row r="1" s="4" customFormat="true" ht="18.55" hidden="false" customHeight="false" outlineLevel="0" collapsed="false">
      <c r="A1" s="2" t="s">
        <v>0</v>
      </c>
      <c r="B1" s="3"/>
      <c r="C1" s="3"/>
    </row>
    <row r="2" s="6" customFormat="true" ht="28.35" hidden="false" customHeight="false" outlineLevel="0" collapsed="false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</row>
    <row r="3" customFormat="false" ht="14.25" hidden="false" customHeight="false" outlineLevel="1" collapsed="false">
      <c r="A3" s="7" t="s">
        <v>19</v>
      </c>
      <c r="B3" s="8" t="n">
        <v>22</v>
      </c>
      <c r="C3" s="8" t="n">
        <v>17</v>
      </c>
      <c r="D3" s="8" t="n">
        <v>5</v>
      </c>
      <c r="E3" s="8" t="n">
        <v>5</v>
      </c>
      <c r="F3" s="8" t="n">
        <v>2</v>
      </c>
      <c r="G3" s="9" t="n">
        <v>3</v>
      </c>
      <c r="H3" s="8" t="n">
        <v>3</v>
      </c>
      <c r="I3" s="8" t="n">
        <v>0</v>
      </c>
      <c r="J3" s="9" t="n">
        <v>3</v>
      </c>
      <c r="K3" s="8" t="n">
        <v>0</v>
      </c>
      <c r="L3" s="10" t="n">
        <v>10556172.07</v>
      </c>
      <c r="M3" s="10" t="n">
        <v>9376847</v>
      </c>
      <c r="N3" s="10" t="n">
        <v>1053134.07</v>
      </c>
      <c r="O3" s="10" t="n">
        <v>126191</v>
      </c>
      <c r="P3" s="10" t="n">
        <v>1553830</v>
      </c>
      <c r="Q3" s="10" t="n">
        <v>8088717204</v>
      </c>
      <c r="R3" s="9" t="n">
        <v>8</v>
      </c>
    </row>
    <row r="4" customFormat="false" ht="14.25" hidden="false" customHeight="false" outlineLevel="1" collapsed="false">
      <c r="A4" s="11" t="s">
        <v>20</v>
      </c>
      <c r="B4" s="12" t="n">
        <v>196</v>
      </c>
      <c r="C4" s="12" t="n">
        <v>172</v>
      </c>
      <c r="D4" s="12" t="n">
        <v>24</v>
      </c>
      <c r="E4" s="12" t="n">
        <v>3</v>
      </c>
      <c r="F4" s="12" t="n">
        <v>2</v>
      </c>
      <c r="G4" s="13" t="n">
        <v>1</v>
      </c>
      <c r="H4" s="12" t="n">
        <v>1</v>
      </c>
      <c r="I4" s="12" t="n">
        <v>1</v>
      </c>
      <c r="J4" s="13" t="n">
        <v>0</v>
      </c>
      <c r="K4" s="12" t="n">
        <v>2</v>
      </c>
      <c r="L4" s="14" t="n">
        <v>38520.95</v>
      </c>
      <c r="M4" s="14" t="n">
        <v>3518.12</v>
      </c>
      <c r="N4" s="14" t="n">
        <v>29480.67</v>
      </c>
      <c r="O4" s="14" t="n">
        <v>5522.16</v>
      </c>
      <c r="P4" s="14" t="n">
        <v>2125299</v>
      </c>
      <c r="Q4" s="14" t="n">
        <v>2705978030</v>
      </c>
      <c r="R4" s="13" t="n">
        <v>12</v>
      </c>
    </row>
    <row r="5" customFormat="false" ht="14.25" hidden="false" customHeight="false" outlineLevel="1" collapsed="false">
      <c r="A5" s="7" t="s">
        <v>21</v>
      </c>
      <c r="B5" s="8" t="n">
        <v>243</v>
      </c>
      <c r="C5" s="8" t="n">
        <v>220</v>
      </c>
      <c r="D5" s="8" t="n">
        <v>23</v>
      </c>
      <c r="E5" s="8" t="n">
        <v>69</v>
      </c>
      <c r="F5" s="8" t="n">
        <v>52</v>
      </c>
      <c r="G5" s="9" t="n">
        <v>17</v>
      </c>
      <c r="H5" s="8" t="n">
        <v>67</v>
      </c>
      <c r="I5" s="8" t="n">
        <v>60</v>
      </c>
      <c r="J5" s="9" t="n">
        <v>7</v>
      </c>
      <c r="K5" s="8" t="n">
        <v>4</v>
      </c>
      <c r="L5" s="10" t="n">
        <v>7343117.27</v>
      </c>
      <c r="M5" s="10" t="n">
        <v>7039378.96</v>
      </c>
      <c r="N5" s="10" t="n">
        <v>303738.31</v>
      </c>
      <c r="O5" s="10" t="n">
        <v>0</v>
      </c>
      <c r="P5" s="10" t="n">
        <v>4875444</v>
      </c>
      <c r="Q5" s="10" t="n">
        <v>22499522881</v>
      </c>
      <c r="R5" s="9" t="n">
        <v>30</v>
      </c>
    </row>
    <row r="6" customFormat="false" ht="14.25" hidden="false" customHeight="false" outlineLevel="1" collapsed="false">
      <c r="A6" s="11" t="s">
        <v>22</v>
      </c>
      <c r="B6" s="12" t="n">
        <v>191</v>
      </c>
      <c r="C6" s="12" t="n">
        <v>120</v>
      </c>
      <c r="D6" s="12" t="n">
        <v>71</v>
      </c>
      <c r="E6" s="12" t="n">
        <v>23</v>
      </c>
      <c r="F6" s="12" t="n">
        <v>10</v>
      </c>
      <c r="G6" s="13" t="n">
        <v>13</v>
      </c>
      <c r="H6" s="12" t="n">
        <v>31</v>
      </c>
      <c r="I6" s="12" t="n">
        <v>18</v>
      </c>
      <c r="J6" s="13" t="n">
        <v>13</v>
      </c>
      <c r="K6" s="12" t="n">
        <v>17</v>
      </c>
      <c r="L6" s="14" t="n">
        <v>2618911.74</v>
      </c>
      <c r="M6" s="14" t="n">
        <v>249390.08</v>
      </c>
      <c r="N6" s="14" t="n">
        <v>594004.44</v>
      </c>
      <c r="O6" s="14" t="n">
        <v>1775517.22</v>
      </c>
      <c r="P6" s="14" t="n">
        <v>3154983</v>
      </c>
      <c r="Q6" s="14" t="n">
        <v>9132921635</v>
      </c>
      <c r="R6" s="13" t="n">
        <v>18</v>
      </c>
    </row>
    <row r="7" customFormat="false" ht="14.25" hidden="false" customHeight="false" outlineLevel="1" collapsed="false">
      <c r="A7" s="7" t="s">
        <v>23</v>
      </c>
      <c r="B7" s="8" t="n">
        <v>1136</v>
      </c>
      <c r="C7" s="8" t="n">
        <v>759</v>
      </c>
      <c r="D7" s="8" t="n">
        <v>377</v>
      </c>
      <c r="E7" s="8" t="n">
        <v>49</v>
      </c>
      <c r="F7" s="8" t="n">
        <v>37</v>
      </c>
      <c r="G7" s="9" t="n">
        <v>12</v>
      </c>
      <c r="H7" s="8" t="n">
        <v>67</v>
      </c>
      <c r="I7" s="8" t="n">
        <v>56</v>
      </c>
      <c r="J7" s="9" t="n">
        <v>11</v>
      </c>
      <c r="K7" s="8" t="n">
        <v>26</v>
      </c>
      <c r="L7" s="10" t="n">
        <v>362823882.01</v>
      </c>
      <c r="M7" s="10" t="n">
        <v>5804459.49</v>
      </c>
      <c r="N7" s="10" t="n">
        <v>2985358.2</v>
      </c>
      <c r="O7" s="10" t="n">
        <v>354034064.32</v>
      </c>
      <c r="P7" s="10" t="n">
        <v>66345930</v>
      </c>
      <c r="Q7" s="10" t="n">
        <v>130133324961</v>
      </c>
      <c r="R7" s="9" t="n">
        <v>236</v>
      </c>
    </row>
    <row r="8" customFormat="false" ht="14.25" hidden="false" customHeight="false" outlineLevel="1" collapsed="false">
      <c r="A8" s="11" t="s">
        <v>24</v>
      </c>
      <c r="B8" s="12" t="n">
        <v>384</v>
      </c>
      <c r="C8" s="12" t="n">
        <v>367</v>
      </c>
      <c r="D8" s="12" t="n">
        <v>17</v>
      </c>
      <c r="E8" s="12" t="n">
        <v>10</v>
      </c>
      <c r="F8" s="12" t="n">
        <v>9</v>
      </c>
      <c r="G8" s="13" t="n">
        <v>1</v>
      </c>
      <c r="H8" s="12" t="n">
        <v>11</v>
      </c>
      <c r="I8" s="12" t="n">
        <v>7</v>
      </c>
      <c r="J8" s="13" t="n">
        <v>4</v>
      </c>
      <c r="K8" s="12" t="n">
        <v>9</v>
      </c>
      <c r="L8" s="14" t="n">
        <v>2907717.37</v>
      </c>
      <c r="M8" s="14" t="n">
        <v>1555309.48</v>
      </c>
      <c r="N8" s="14" t="n">
        <v>1343907.89</v>
      </c>
      <c r="O8" s="14" t="n">
        <v>8500</v>
      </c>
      <c r="P8" s="14" t="n">
        <v>3354027</v>
      </c>
      <c r="Q8" s="14" t="n">
        <v>13646983776</v>
      </c>
      <c r="R8" s="13" t="n">
        <v>22</v>
      </c>
    </row>
    <row r="9" customFormat="false" ht="14.25" hidden="false" customHeight="false" outlineLevel="1" collapsed="false">
      <c r="A9" s="7" t="s">
        <v>25</v>
      </c>
      <c r="B9" s="8" t="n">
        <v>167</v>
      </c>
      <c r="C9" s="8" t="n">
        <v>164</v>
      </c>
      <c r="D9" s="8" t="n">
        <v>3</v>
      </c>
      <c r="E9" s="8" t="n">
        <v>8</v>
      </c>
      <c r="F9" s="8" t="n">
        <v>7</v>
      </c>
      <c r="G9" s="9" t="n">
        <v>1</v>
      </c>
      <c r="H9" s="8" t="n">
        <v>9</v>
      </c>
      <c r="I9" s="8" t="n">
        <v>9</v>
      </c>
      <c r="J9" s="9" t="n">
        <v>0</v>
      </c>
      <c r="K9" s="8" t="n">
        <v>16</v>
      </c>
      <c r="L9" s="10" t="n">
        <v>18520950.54</v>
      </c>
      <c r="M9" s="10" t="n">
        <v>475279.73</v>
      </c>
      <c r="N9" s="10" t="n">
        <v>10296.56</v>
      </c>
      <c r="O9" s="10" t="n">
        <v>18035374.25</v>
      </c>
      <c r="P9" s="10" t="n">
        <v>2874704</v>
      </c>
      <c r="Q9" s="10" t="n">
        <v>10738157192</v>
      </c>
      <c r="R9" s="9" t="n">
        <v>13</v>
      </c>
    </row>
    <row r="10" customFormat="false" ht="14.25" hidden="false" customHeight="false" outlineLevel="1" collapsed="false">
      <c r="A10" s="11" t="s">
        <v>26</v>
      </c>
      <c r="B10" s="12" t="n">
        <v>257</v>
      </c>
      <c r="C10" s="12" t="n">
        <v>214</v>
      </c>
      <c r="D10" s="12" t="n">
        <v>43</v>
      </c>
      <c r="E10" s="12" t="n">
        <v>26</v>
      </c>
      <c r="F10" s="12" t="n">
        <v>2</v>
      </c>
      <c r="G10" s="13" t="n">
        <v>24</v>
      </c>
      <c r="H10" s="12" t="n">
        <v>15</v>
      </c>
      <c r="I10" s="12" t="n">
        <v>3</v>
      </c>
      <c r="J10" s="13" t="n">
        <v>12</v>
      </c>
      <c r="K10" s="12" t="n">
        <v>7</v>
      </c>
      <c r="L10" s="14" t="n">
        <v>727526.77</v>
      </c>
      <c r="M10" s="14" t="n">
        <v>544717.9</v>
      </c>
      <c r="N10" s="14" t="n">
        <v>148838.87</v>
      </c>
      <c r="O10" s="14" t="n">
        <v>33970</v>
      </c>
      <c r="P10" s="14" t="n">
        <v>2384008</v>
      </c>
      <c r="Q10" s="14" t="n">
        <v>3467165402</v>
      </c>
      <c r="R10" s="13" t="n">
        <v>18</v>
      </c>
    </row>
    <row r="11" customFormat="false" ht="14.25" hidden="false" customHeight="false" outlineLevel="1" collapsed="false">
      <c r="A11" s="7" t="s">
        <v>27</v>
      </c>
      <c r="B11" s="8" t="n">
        <v>66</v>
      </c>
      <c r="C11" s="8" t="n">
        <v>42</v>
      </c>
      <c r="D11" s="8" t="n">
        <v>24</v>
      </c>
      <c r="E11" s="8" t="n">
        <v>9</v>
      </c>
      <c r="F11" s="8" t="n">
        <v>5</v>
      </c>
      <c r="G11" s="9" t="n">
        <v>4</v>
      </c>
      <c r="H11" s="8" t="n">
        <v>4</v>
      </c>
      <c r="I11" s="8" t="n">
        <v>2</v>
      </c>
      <c r="J11" s="9" t="n">
        <v>2</v>
      </c>
      <c r="K11" s="8" t="n">
        <v>2</v>
      </c>
      <c r="L11" s="10" t="n">
        <v>9591444.59</v>
      </c>
      <c r="M11" s="10" t="n">
        <v>8066138.23</v>
      </c>
      <c r="N11" s="10" t="n">
        <v>26943.86</v>
      </c>
      <c r="O11" s="10" t="n">
        <v>1498362.5</v>
      </c>
      <c r="P11" s="10" t="n">
        <v>3309856</v>
      </c>
      <c r="Q11" s="10" t="n">
        <v>4317450659</v>
      </c>
      <c r="R11" s="9" t="n">
        <v>22</v>
      </c>
    </row>
    <row r="12" customFormat="false" ht="14.25" hidden="false" customHeight="false" outlineLevel="1" collapsed="false">
      <c r="A12" s="11" t="s">
        <v>28</v>
      </c>
      <c r="B12" s="12" t="n">
        <v>668</v>
      </c>
      <c r="C12" s="12" t="n">
        <v>583</v>
      </c>
      <c r="D12" s="12" t="n">
        <v>85</v>
      </c>
      <c r="E12" s="12" t="n">
        <v>96</v>
      </c>
      <c r="F12" s="12" t="n">
        <v>85</v>
      </c>
      <c r="G12" s="13" t="n">
        <v>11</v>
      </c>
      <c r="H12" s="12" t="n">
        <v>46</v>
      </c>
      <c r="I12" s="12" t="n">
        <v>37</v>
      </c>
      <c r="J12" s="13" t="n">
        <v>9</v>
      </c>
      <c r="K12" s="12" t="n">
        <v>9</v>
      </c>
      <c r="L12" s="14" t="n">
        <v>18323053.04</v>
      </c>
      <c r="M12" s="14" t="n">
        <v>15603593.21</v>
      </c>
      <c r="N12" s="14" t="n">
        <v>999278.86</v>
      </c>
      <c r="O12" s="14" t="n">
        <v>1720180.97</v>
      </c>
      <c r="P12" s="14" t="n">
        <v>20493691</v>
      </c>
      <c r="Q12" s="14" t="n">
        <v>34841609995</v>
      </c>
      <c r="R12" s="13" t="n">
        <v>145</v>
      </c>
    </row>
    <row r="13" customFormat="false" ht="14.25" hidden="false" customHeight="false" outlineLevel="1" collapsed="false">
      <c r="A13" s="7" t="s">
        <v>29</v>
      </c>
      <c r="B13" s="8" t="n">
        <v>398</v>
      </c>
      <c r="C13" s="8" t="n">
        <v>389</v>
      </c>
      <c r="D13" s="8" t="n">
        <v>9</v>
      </c>
      <c r="E13" s="8" t="n">
        <v>7</v>
      </c>
      <c r="F13" s="8" t="n">
        <v>6</v>
      </c>
      <c r="G13" s="9" t="n">
        <v>1</v>
      </c>
      <c r="H13" s="8" t="n">
        <v>7</v>
      </c>
      <c r="I13" s="8" t="n">
        <v>6</v>
      </c>
      <c r="J13" s="9" t="n">
        <v>1</v>
      </c>
      <c r="K13" s="8" t="n">
        <v>14</v>
      </c>
      <c r="L13" s="10" t="n">
        <v>20597671.59</v>
      </c>
      <c r="M13" s="10" t="n">
        <v>696676.73</v>
      </c>
      <c r="N13" s="10" t="n">
        <v>482640.43</v>
      </c>
      <c r="O13" s="10" t="n">
        <v>19418354.43</v>
      </c>
      <c r="P13" s="10" t="n">
        <v>5651368</v>
      </c>
      <c r="Q13" s="10" t="n">
        <v>16608700777</v>
      </c>
      <c r="R13" s="9" t="n">
        <v>44</v>
      </c>
    </row>
    <row r="14" customFormat="false" ht="14.25" hidden="false" customHeight="false" outlineLevel="1" collapsed="false">
      <c r="A14" s="11" t="s">
        <v>30</v>
      </c>
      <c r="B14" s="12" t="n">
        <v>454</v>
      </c>
      <c r="C14" s="12" t="n">
        <v>368</v>
      </c>
      <c r="D14" s="12" t="n">
        <v>86</v>
      </c>
      <c r="E14" s="12" t="n">
        <v>0</v>
      </c>
      <c r="F14" s="12" t="n">
        <v>0</v>
      </c>
      <c r="G14" s="13" t="n">
        <v>0</v>
      </c>
      <c r="H14" s="12" t="n">
        <v>0</v>
      </c>
      <c r="I14" s="12" t="n">
        <v>0</v>
      </c>
      <c r="J14" s="13" t="n">
        <v>0</v>
      </c>
      <c r="K14" s="12" t="n">
        <v>4</v>
      </c>
      <c r="L14" s="14" t="n">
        <v>11084423.6</v>
      </c>
      <c r="M14" s="14" t="n">
        <v>0</v>
      </c>
      <c r="N14" s="14" t="n">
        <v>34423.6</v>
      </c>
      <c r="O14" s="14" t="n">
        <v>11050000</v>
      </c>
      <c r="P14" s="14" t="n">
        <v>2074191</v>
      </c>
      <c r="Q14" s="14" t="n">
        <v>3106645531</v>
      </c>
      <c r="R14" s="13" t="n">
        <v>16</v>
      </c>
    </row>
    <row r="15" customFormat="false" ht="14.25" hidden="false" customHeight="false" outlineLevel="1" collapsed="false">
      <c r="A15" s="7" t="s">
        <v>31</v>
      </c>
      <c r="B15" s="8" t="n">
        <v>187</v>
      </c>
      <c r="C15" s="8" t="n">
        <v>183</v>
      </c>
      <c r="D15" s="8" t="n">
        <v>4</v>
      </c>
      <c r="E15" s="8" t="n">
        <v>5</v>
      </c>
      <c r="F15" s="8" t="n">
        <v>4</v>
      </c>
      <c r="G15" s="9" t="n">
        <v>1</v>
      </c>
      <c r="H15" s="8" t="n">
        <v>6</v>
      </c>
      <c r="I15" s="8" t="n">
        <v>6</v>
      </c>
      <c r="J15" s="9" t="n">
        <v>0</v>
      </c>
      <c r="K15" s="8" t="n">
        <v>0</v>
      </c>
      <c r="L15" s="10" t="n">
        <v>261465.23</v>
      </c>
      <c r="M15" s="10" t="n">
        <v>258050.61</v>
      </c>
      <c r="N15" s="10" t="n">
        <v>0</v>
      </c>
      <c r="O15" s="10" t="n">
        <v>3414.62</v>
      </c>
      <c r="P15" s="10" t="n">
        <v>1150784</v>
      </c>
      <c r="Q15" s="10" t="n">
        <v>2920524660</v>
      </c>
      <c r="R15" s="9" t="n">
        <v>9</v>
      </c>
    </row>
    <row r="16" customFormat="false" ht="14.25" hidden="false" customHeight="false" outlineLevel="1" collapsed="false">
      <c r="A16" s="11" t="s">
        <v>32</v>
      </c>
      <c r="B16" s="12" t="n">
        <v>351</v>
      </c>
      <c r="C16" s="12" t="n">
        <v>316</v>
      </c>
      <c r="D16" s="12" t="n">
        <v>35</v>
      </c>
      <c r="E16" s="12" t="n">
        <v>31</v>
      </c>
      <c r="F16" s="12" t="n">
        <v>25</v>
      </c>
      <c r="G16" s="13" t="n">
        <v>6</v>
      </c>
      <c r="H16" s="12" t="n">
        <v>42</v>
      </c>
      <c r="I16" s="12" t="n">
        <v>35</v>
      </c>
      <c r="J16" s="13" t="n">
        <v>7</v>
      </c>
      <c r="K16" s="12" t="n">
        <v>5</v>
      </c>
      <c r="L16" s="14" t="n">
        <v>12455013.21</v>
      </c>
      <c r="M16" s="14" t="n">
        <v>5726314.52</v>
      </c>
      <c r="N16" s="14" t="n">
        <v>3368698.69</v>
      </c>
      <c r="O16" s="14" t="n">
        <v>3360000</v>
      </c>
      <c r="P16" s="14" t="n">
        <v>6385839</v>
      </c>
      <c r="Q16" s="14" t="n">
        <v>33306700578</v>
      </c>
      <c r="R16" s="13" t="n">
        <v>26</v>
      </c>
    </row>
    <row r="17" customFormat="false" ht="14.25" hidden="false" customHeight="false" outlineLevel="1" collapsed="false">
      <c r="A17" s="7" t="s">
        <v>33</v>
      </c>
      <c r="B17" s="8" t="n">
        <v>985</v>
      </c>
      <c r="C17" s="8" t="n">
        <v>691</v>
      </c>
      <c r="D17" s="8" t="n">
        <v>294</v>
      </c>
      <c r="E17" s="8" t="n">
        <v>70</v>
      </c>
      <c r="F17" s="8" t="n">
        <v>59</v>
      </c>
      <c r="G17" s="9" t="n">
        <v>11</v>
      </c>
      <c r="H17" s="8" t="n">
        <v>37</v>
      </c>
      <c r="I17" s="8" t="n">
        <v>34</v>
      </c>
      <c r="J17" s="9" t="n">
        <v>3</v>
      </c>
      <c r="K17" s="8" t="n">
        <v>13</v>
      </c>
      <c r="L17" s="10" t="n">
        <v>65930619.57</v>
      </c>
      <c r="M17" s="10" t="n">
        <v>1555384.51</v>
      </c>
      <c r="N17" s="10" t="n">
        <v>473536.18</v>
      </c>
      <c r="O17" s="10" t="n">
        <v>63901698.88</v>
      </c>
      <c r="P17" s="10" t="n">
        <v>7997841</v>
      </c>
      <c r="Q17" s="10" t="n">
        <v>17819794934</v>
      </c>
      <c r="R17" s="9" t="n">
        <v>59</v>
      </c>
    </row>
    <row r="18" customFormat="false" ht="14.25" hidden="false" customHeight="false" outlineLevel="1" collapsed="false">
      <c r="A18" s="11" t="s">
        <v>34</v>
      </c>
      <c r="B18" s="12" t="n">
        <v>285</v>
      </c>
      <c r="C18" s="12" t="n">
        <v>238</v>
      </c>
      <c r="D18" s="12" t="n">
        <v>47</v>
      </c>
      <c r="E18" s="12" t="n">
        <v>26</v>
      </c>
      <c r="F18" s="12" t="n">
        <v>9</v>
      </c>
      <c r="G18" s="13" t="n">
        <v>17</v>
      </c>
      <c r="H18" s="12" t="n">
        <v>20</v>
      </c>
      <c r="I18" s="12" t="n">
        <v>12</v>
      </c>
      <c r="J18" s="13" t="n">
        <v>8</v>
      </c>
      <c r="K18" s="12" t="n">
        <v>4</v>
      </c>
      <c r="L18" s="14" t="n">
        <v>1676464.53</v>
      </c>
      <c r="M18" s="14" t="n">
        <v>135952.32</v>
      </c>
      <c r="N18" s="14" t="n">
        <v>61945.06</v>
      </c>
      <c r="O18" s="14" t="n">
        <v>1478567.15</v>
      </c>
      <c r="P18" s="14" t="n">
        <v>991331</v>
      </c>
      <c r="Q18" s="14" t="n">
        <v>6927817062</v>
      </c>
      <c r="R18" s="13" t="n">
        <v>9</v>
      </c>
    </row>
    <row r="19" customFormat="false" ht="14.25" hidden="false" customHeight="false" outlineLevel="1" collapsed="false">
      <c r="A19" s="7" t="s">
        <v>35</v>
      </c>
      <c r="B19" s="8" t="n">
        <v>282</v>
      </c>
      <c r="C19" s="8" t="n">
        <v>218</v>
      </c>
      <c r="D19" s="8" t="n">
        <v>64</v>
      </c>
      <c r="E19" s="8" t="n">
        <v>23</v>
      </c>
      <c r="F19" s="8" t="n">
        <v>16</v>
      </c>
      <c r="G19" s="9" t="n">
        <v>7</v>
      </c>
      <c r="H19" s="8" t="n">
        <v>21</v>
      </c>
      <c r="I19" s="8" t="n">
        <v>10</v>
      </c>
      <c r="J19" s="9" t="n">
        <v>11</v>
      </c>
      <c r="K19" s="8" t="n">
        <v>2</v>
      </c>
      <c r="L19" s="10" t="n">
        <v>170106.34</v>
      </c>
      <c r="M19" s="10" t="n">
        <v>158685.27</v>
      </c>
      <c r="N19" s="10" t="n">
        <v>7218.97</v>
      </c>
      <c r="O19" s="10" t="n">
        <v>4202.1</v>
      </c>
      <c r="P19" s="10" t="n">
        <v>2426237</v>
      </c>
      <c r="Q19" s="10" t="n">
        <v>5436508176</v>
      </c>
      <c r="R19" s="9" t="n">
        <v>17</v>
      </c>
    </row>
    <row r="20" customFormat="false" ht="14.25" hidden="false" customHeight="false" outlineLevel="1" collapsed="false">
      <c r="A20" s="11" t="s">
        <v>36</v>
      </c>
      <c r="B20" s="12" t="n">
        <v>239</v>
      </c>
      <c r="C20" s="12" t="n">
        <v>208</v>
      </c>
      <c r="D20" s="12" t="n">
        <v>31</v>
      </c>
      <c r="E20" s="12" t="n">
        <v>25</v>
      </c>
      <c r="F20" s="12" t="n">
        <v>16</v>
      </c>
      <c r="G20" s="13" t="n">
        <v>9</v>
      </c>
      <c r="H20" s="12" t="n">
        <v>11</v>
      </c>
      <c r="I20" s="12" t="n">
        <v>5</v>
      </c>
      <c r="J20" s="13" t="n">
        <v>6</v>
      </c>
      <c r="K20" s="12" t="n">
        <v>13</v>
      </c>
      <c r="L20" s="14" t="n">
        <v>21333957.41</v>
      </c>
      <c r="M20" s="14" t="n">
        <v>2113847.51</v>
      </c>
      <c r="N20" s="14" t="n">
        <v>73565.56</v>
      </c>
      <c r="O20" s="14" t="n">
        <v>19146544.34</v>
      </c>
      <c r="P20" s="14" t="n">
        <v>4498011</v>
      </c>
      <c r="Q20" s="14" t="n">
        <v>16642070989</v>
      </c>
      <c r="R20" s="13" t="n">
        <v>32</v>
      </c>
    </row>
    <row r="21" customFormat="false" ht="14.25" hidden="false" customHeight="false" outlineLevel="1" collapsed="false">
      <c r="A21" s="7" t="s">
        <v>37</v>
      </c>
      <c r="B21" s="8" t="n">
        <v>472</v>
      </c>
      <c r="C21" s="8" t="n">
        <v>356</v>
      </c>
      <c r="D21" s="8" t="n">
        <v>116</v>
      </c>
      <c r="E21" s="8" t="n">
        <v>50</v>
      </c>
      <c r="F21" s="8" t="n">
        <v>25</v>
      </c>
      <c r="G21" s="9" t="n">
        <v>25</v>
      </c>
      <c r="H21" s="8" t="n">
        <v>30</v>
      </c>
      <c r="I21" s="8" t="n">
        <v>18</v>
      </c>
      <c r="J21" s="9" t="n">
        <v>12</v>
      </c>
      <c r="K21" s="8" t="n">
        <v>8</v>
      </c>
      <c r="L21" s="10" t="n">
        <v>15263524.4</v>
      </c>
      <c r="M21" s="10" t="n">
        <v>8766788.87</v>
      </c>
      <c r="N21" s="10" t="n">
        <v>18864.53</v>
      </c>
      <c r="O21" s="10" t="n">
        <v>6477871</v>
      </c>
      <c r="P21" s="10" t="n">
        <v>9276078</v>
      </c>
      <c r="Q21" s="10" t="n">
        <v>16628861150</v>
      </c>
      <c r="R21" s="9" t="n">
        <v>61</v>
      </c>
    </row>
    <row r="22" customFormat="false" ht="14.25" hidden="false" customHeight="false" outlineLevel="1" collapsed="false">
      <c r="A22" s="11" t="s">
        <v>38</v>
      </c>
      <c r="B22" s="12" t="n">
        <v>61</v>
      </c>
      <c r="C22" s="12" t="n">
        <v>32</v>
      </c>
      <c r="D22" s="12" t="n">
        <v>29</v>
      </c>
      <c r="E22" s="12" t="n">
        <v>10</v>
      </c>
      <c r="F22" s="12" t="n">
        <v>1</v>
      </c>
      <c r="G22" s="13" t="n">
        <v>9</v>
      </c>
      <c r="H22" s="12" t="n">
        <v>7</v>
      </c>
      <c r="I22" s="12" t="n">
        <v>4</v>
      </c>
      <c r="J22" s="13" t="n">
        <v>3</v>
      </c>
      <c r="K22" s="12" t="n">
        <v>2</v>
      </c>
      <c r="L22" s="14" t="n">
        <v>206276.11</v>
      </c>
      <c r="M22" s="14" t="n">
        <v>5685.76</v>
      </c>
      <c r="N22" s="14" t="n">
        <v>200590.35</v>
      </c>
      <c r="O22" s="14" t="n">
        <v>0</v>
      </c>
      <c r="P22" s="14" t="n">
        <v>1494775</v>
      </c>
      <c r="Q22" s="14" t="n">
        <v>4286591113</v>
      </c>
      <c r="R22" s="13" t="n">
        <v>9</v>
      </c>
    </row>
    <row r="23" customFormat="false" ht="14.25" hidden="false" customHeight="false" outlineLevel="1" collapsed="false">
      <c r="A23" s="7" t="s">
        <v>39</v>
      </c>
      <c r="B23" s="8" t="n">
        <v>363</v>
      </c>
      <c r="C23" s="8" t="n">
        <v>323</v>
      </c>
      <c r="D23" s="8" t="n">
        <v>40</v>
      </c>
      <c r="E23" s="8" t="n">
        <v>10</v>
      </c>
      <c r="F23" s="8" t="n">
        <v>2</v>
      </c>
      <c r="G23" s="9" t="n">
        <v>8</v>
      </c>
      <c r="H23" s="8" t="n">
        <v>13</v>
      </c>
      <c r="I23" s="8" t="n">
        <v>10</v>
      </c>
      <c r="J23" s="9" t="n">
        <v>3</v>
      </c>
      <c r="K23" s="8" t="n">
        <v>11</v>
      </c>
      <c r="L23" s="10" t="n">
        <v>2086415.76</v>
      </c>
      <c r="M23" s="10" t="n">
        <v>456911.73</v>
      </c>
      <c r="N23" s="10" t="n">
        <v>514885.28</v>
      </c>
      <c r="O23" s="10" t="n">
        <v>1114618.75</v>
      </c>
      <c r="P23" s="10" t="n">
        <v>5610088</v>
      </c>
      <c r="Q23" s="10" t="n">
        <v>17552005124</v>
      </c>
      <c r="R23" s="9" t="n">
        <v>36</v>
      </c>
    </row>
    <row r="24" customFormat="false" ht="14.25" hidden="false" customHeight="false" outlineLevel="1" collapsed="false">
      <c r="A24" s="11" t="s">
        <v>40</v>
      </c>
      <c r="B24" s="12" t="n">
        <v>603</v>
      </c>
      <c r="C24" s="12" t="n">
        <v>566</v>
      </c>
      <c r="D24" s="12" t="n">
        <v>37</v>
      </c>
      <c r="E24" s="12" t="n">
        <v>15</v>
      </c>
      <c r="F24" s="12" t="n">
        <v>12</v>
      </c>
      <c r="G24" s="13" t="n">
        <v>3</v>
      </c>
      <c r="H24" s="12" t="n">
        <v>19</v>
      </c>
      <c r="I24" s="12" t="n">
        <v>15</v>
      </c>
      <c r="J24" s="13" t="n">
        <v>4</v>
      </c>
      <c r="K24" s="12" t="n">
        <v>19</v>
      </c>
      <c r="L24" s="14" t="n">
        <v>23375309.29</v>
      </c>
      <c r="M24" s="14" t="n">
        <v>3710435.53</v>
      </c>
      <c r="N24" s="14" t="n">
        <v>760659.2</v>
      </c>
      <c r="O24" s="14" t="n">
        <v>18904214.56</v>
      </c>
      <c r="P24" s="14" t="n">
        <v>6164639</v>
      </c>
      <c r="Q24" s="14" t="n">
        <v>24487922260</v>
      </c>
      <c r="R24" s="13" t="n">
        <v>37</v>
      </c>
    </row>
    <row r="25" customFormat="false" ht="14.25" hidden="false" customHeight="false" outlineLevel="1" collapsed="false">
      <c r="A25" s="7" t="s">
        <v>41</v>
      </c>
      <c r="B25" s="8" t="n">
        <v>511</v>
      </c>
      <c r="C25" s="8" t="n">
        <v>430</v>
      </c>
      <c r="D25" s="8" t="n">
        <v>81</v>
      </c>
      <c r="E25" s="8" t="n">
        <v>18</v>
      </c>
      <c r="F25" s="8" t="n">
        <v>11</v>
      </c>
      <c r="G25" s="9" t="n">
        <v>7</v>
      </c>
      <c r="H25" s="8" t="n">
        <v>11</v>
      </c>
      <c r="I25" s="8" t="n">
        <v>7</v>
      </c>
      <c r="J25" s="9" t="n">
        <v>4</v>
      </c>
      <c r="K25" s="8" t="n">
        <v>16</v>
      </c>
      <c r="L25" s="10" t="n">
        <v>29764369.11</v>
      </c>
      <c r="M25" s="10" t="n">
        <v>19716567.8</v>
      </c>
      <c r="N25" s="10" t="n">
        <v>5067731.8</v>
      </c>
      <c r="O25" s="10" t="n">
        <v>4980069.51</v>
      </c>
      <c r="P25" s="10" t="n">
        <v>6113464</v>
      </c>
      <c r="Q25" s="10" t="n">
        <v>23741817895</v>
      </c>
      <c r="R25" s="9" t="n">
        <v>34</v>
      </c>
    </row>
    <row r="26" customFormat="false" ht="14.25" hidden="false" customHeight="false" outlineLevel="1" collapsed="false">
      <c r="A26" s="11" t="s">
        <v>42</v>
      </c>
      <c r="B26" s="12" t="n">
        <v>208</v>
      </c>
      <c r="C26" s="12" t="n">
        <v>198</v>
      </c>
      <c r="D26" s="12" t="n">
        <v>10</v>
      </c>
      <c r="E26" s="12" t="n">
        <v>45</v>
      </c>
      <c r="F26" s="12" t="n">
        <v>44</v>
      </c>
      <c r="G26" s="13" t="n">
        <v>1</v>
      </c>
      <c r="H26" s="12" t="n">
        <v>45</v>
      </c>
      <c r="I26" s="12" t="n">
        <v>43</v>
      </c>
      <c r="J26" s="13" t="n">
        <v>2</v>
      </c>
      <c r="K26" s="12" t="n">
        <v>6</v>
      </c>
      <c r="L26" s="14" t="n">
        <v>5973588.68</v>
      </c>
      <c r="M26" s="14" t="n">
        <v>4402965.81</v>
      </c>
      <c r="N26" s="14" t="n">
        <v>79986.72</v>
      </c>
      <c r="O26" s="14" t="n">
        <v>1490636.15</v>
      </c>
      <c r="P26" s="14" t="n">
        <v>4454431</v>
      </c>
      <c r="Q26" s="14" t="n">
        <v>19113079015</v>
      </c>
      <c r="R26" s="13" t="n">
        <v>30</v>
      </c>
    </row>
    <row r="27" customFormat="false" ht="14.25" hidden="false" customHeight="false" outlineLevel="1" collapsed="false">
      <c r="A27" s="7" t="s">
        <v>43</v>
      </c>
      <c r="B27" s="8" t="n">
        <v>386</v>
      </c>
      <c r="C27" s="8" t="n">
        <v>99</v>
      </c>
      <c r="D27" s="8" t="n">
        <v>287</v>
      </c>
      <c r="E27" s="8" t="n">
        <v>40</v>
      </c>
      <c r="F27" s="8" t="n">
        <v>4</v>
      </c>
      <c r="G27" s="9" t="n">
        <v>36</v>
      </c>
      <c r="H27" s="8" t="n">
        <v>55</v>
      </c>
      <c r="I27" s="8" t="n">
        <v>11</v>
      </c>
      <c r="J27" s="9" t="n">
        <v>44</v>
      </c>
      <c r="K27" s="8" t="n">
        <v>8</v>
      </c>
      <c r="L27" s="10" t="n">
        <v>17842771.95</v>
      </c>
      <c r="M27" s="10" t="n">
        <v>15749147.56</v>
      </c>
      <c r="N27" s="10" t="n">
        <v>17801.02</v>
      </c>
      <c r="O27" s="10" t="n">
        <v>2075823.37</v>
      </c>
      <c r="P27" s="10" t="n">
        <v>3992436</v>
      </c>
      <c r="Q27" s="10" t="n">
        <v>6547605903</v>
      </c>
      <c r="R27" s="9" t="n">
        <v>34</v>
      </c>
    </row>
    <row r="28" customFormat="false" ht="14.25" hidden="false" customHeight="false" outlineLevel="1" collapsed="false">
      <c r="A28" s="11" t="s">
        <v>44</v>
      </c>
      <c r="B28" s="12" t="n">
        <v>325</v>
      </c>
      <c r="C28" s="12" t="n">
        <v>272</v>
      </c>
      <c r="D28" s="12" t="n">
        <v>53</v>
      </c>
      <c r="E28" s="12" t="n">
        <v>52</v>
      </c>
      <c r="F28" s="12" t="n">
        <v>50</v>
      </c>
      <c r="G28" s="13" t="n">
        <v>2</v>
      </c>
      <c r="H28" s="12" t="n">
        <v>23</v>
      </c>
      <c r="I28" s="12" t="n">
        <v>20</v>
      </c>
      <c r="J28" s="13" t="n">
        <v>3</v>
      </c>
      <c r="K28" s="12" t="n">
        <v>10</v>
      </c>
      <c r="L28" s="14" t="n">
        <v>10086586.17</v>
      </c>
      <c r="M28" s="14" t="n">
        <v>1535188.15</v>
      </c>
      <c r="N28" s="14" t="n">
        <v>1397183.77</v>
      </c>
      <c r="O28" s="14" t="n">
        <v>7154214.25</v>
      </c>
      <c r="P28" s="14" t="n">
        <v>2421377</v>
      </c>
      <c r="Q28" s="14" t="n">
        <v>16357682592</v>
      </c>
      <c r="R28" s="13" t="n">
        <v>19</v>
      </c>
    </row>
    <row r="29" customFormat="false" ht="14.25" hidden="false" customHeight="false" outlineLevel="1" collapsed="false">
      <c r="A29" s="7" t="s">
        <v>45</v>
      </c>
      <c r="B29" s="8" t="n">
        <v>75</v>
      </c>
      <c r="C29" s="8" t="n">
        <v>69</v>
      </c>
      <c r="D29" s="8" t="n">
        <v>6</v>
      </c>
      <c r="E29" s="8" t="n">
        <v>12</v>
      </c>
      <c r="F29" s="8" t="n">
        <v>10</v>
      </c>
      <c r="G29" s="9" t="n">
        <v>2</v>
      </c>
      <c r="H29" s="8" t="n">
        <v>4</v>
      </c>
      <c r="I29" s="8" t="n">
        <v>4</v>
      </c>
      <c r="J29" s="9" t="n">
        <v>0</v>
      </c>
      <c r="K29" s="8" t="n">
        <v>2</v>
      </c>
      <c r="L29" s="10" t="n">
        <v>500294.4</v>
      </c>
      <c r="M29" s="10" t="n">
        <v>197015.87</v>
      </c>
      <c r="N29" s="10" t="n">
        <v>3278.53</v>
      </c>
      <c r="O29" s="10" t="n">
        <v>300000</v>
      </c>
      <c r="P29" s="10" t="n">
        <v>988842</v>
      </c>
      <c r="Q29" s="10" t="n">
        <v>2445041437</v>
      </c>
      <c r="R29" s="9" t="n">
        <v>9</v>
      </c>
    </row>
    <row r="30" customFormat="false" ht="14.25" hidden="false" customHeight="false" outlineLevel="1" collapsed="false">
      <c r="A30" s="11" t="s">
        <v>46</v>
      </c>
      <c r="B30" s="12" t="n">
        <v>78</v>
      </c>
      <c r="C30" s="12" t="n">
        <v>53</v>
      </c>
      <c r="D30" s="12" t="n">
        <v>25</v>
      </c>
      <c r="E30" s="12" t="n">
        <v>4</v>
      </c>
      <c r="F30" s="12" t="n">
        <v>3</v>
      </c>
      <c r="G30" s="13" t="n">
        <v>1</v>
      </c>
      <c r="H30" s="12" t="n">
        <v>1</v>
      </c>
      <c r="I30" s="12" t="n">
        <v>0</v>
      </c>
      <c r="J30" s="13" t="n">
        <v>1</v>
      </c>
      <c r="K30" s="12" t="n">
        <v>2</v>
      </c>
      <c r="L30" s="14" t="n">
        <v>714102.99</v>
      </c>
      <c r="M30" s="14" t="n">
        <v>4107</v>
      </c>
      <c r="N30" s="14" t="n">
        <v>45739.92</v>
      </c>
      <c r="O30" s="14" t="n">
        <v>664256.07</v>
      </c>
      <c r="P30" s="14" t="n">
        <v>1429798</v>
      </c>
      <c r="Q30" s="14" t="n">
        <v>3930854013</v>
      </c>
      <c r="R30" s="13" t="n">
        <v>10</v>
      </c>
    </row>
    <row r="31" customFormat="false" ht="14.25" hidden="false" customHeight="false" outlineLevel="1" collapsed="false">
      <c r="A31" s="7" t="s">
        <v>47</v>
      </c>
      <c r="B31" s="8" t="n">
        <v>314</v>
      </c>
      <c r="C31" s="8" t="n">
        <v>297</v>
      </c>
      <c r="D31" s="8" t="n">
        <v>17</v>
      </c>
      <c r="E31" s="8" t="n">
        <v>21</v>
      </c>
      <c r="F31" s="8" t="n">
        <v>20</v>
      </c>
      <c r="G31" s="9" t="n">
        <v>1</v>
      </c>
      <c r="H31" s="8" t="n">
        <v>14</v>
      </c>
      <c r="I31" s="8" t="n">
        <v>13</v>
      </c>
      <c r="J31" s="9" t="n">
        <v>1</v>
      </c>
      <c r="K31" s="8" t="n">
        <v>7</v>
      </c>
      <c r="L31" s="10" t="n">
        <v>4429292.44</v>
      </c>
      <c r="M31" s="10" t="n">
        <v>3742591</v>
      </c>
      <c r="N31" s="10" t="n">
        <v>191222.21</v>
      </c>
      <c r="O31" s="10" t="n">
        <v>495479.23</v>
      </c>
      <c r="P31" s="10" t="n">
        <v>2773153</v>
      </c>
      <c r="Q31" s="10" t="n">
        <v>5767822220</v>
      </c>
      <c r="R31" s="9" t="n">
        <v>19</v>
      </c>
    </row>
    <row r="32" customFormat="false" ht="14.25" hidden="false" customHeight="false" outlineLevel="1" collapsed="false">
      <c r="A32" s="11" t="s">
        <v>48</v>
      </c>
      <c r="B32" s="12" t="n">
        <v>70</v>
      </c>
      <c r="C32" s="12" t="n">
        <v>65</v>
      </c>
      <c r="D32" s="12" t="n">
        <v>5</v>
      </c>
      <c r="E32" s="12" t="n">
        <v>15</v>
      </c>
      <c r="F32" s="12" t="n">
        <v>14</v>
      </c>
      <c r="G32" s="13" t="n">
        <v>1</v>
      </c>
      <c r="H32" s="12" t="n">
        <v>6</v>
      </c>
      <c r="I32" s="12" t="n">
        <v>5</v>
      </c>
      <c r="J32" s="13" t="n">
        <v>1</v>
      </c>
      <c r="K32" s="12" t="n">
        <v>5</v>
      </c>
      <c r="L32" s="14" t="n">
        <v>174612.14</v>
      </c>
      <c r="M32" s="14" t="n">
        <v>8844.18</v>
      </c>
      <c r="N32" s="14" t="n">
        <v>78225.46</v>
      </c>
      <c r="O32" s="14" t="n">
        <v>87542.5</v>
      </c>
      <c r="P32" s="14" t="n">
        <v>921481</v>
      </c>
      <c r="Q32" s="14" t="n">
        <v>2592839761</v>
      </c>
      <c r="R32" s="13" t="n">
        <v>8</v>
      </c>
    </row>
    <row r="33" customFormat="false" ht="14.25" hidden="false" customHeight="false" outlineLevel="1" collapsed="false">
      <c r="A33" s="7" t="s">
        <v>49</v>
      </c>
      <c r="B33" s="8" t="n">
        <v>193</v>
      </c>
      <c r="C33" s="8" t="n">
        <v>145</v>
      </c>
      <c r="D33" s="8" t="n">
        <v>48</v>
      </c>
      <c r="E33" s="8" t="n">
        <v>17</v>
      </c>
      <c r="F33" s="8" t="n">
        <v>11</v>
      </c>
      <c r="G33" s="9" t="n">
        <v>6</v>
      </c>
      <c r="H33" s="8" t="n">
        <v>12</v>
      </c>
      <c r="I33" s="8" t="n">
        <v>9</v>
      </c>
      <c r="J33" s="9" t="n">
        <v>3</v>
      </c>
      <c r="K33" s="8" t="n">
        <v>7</v>
      </c>
      <c r="L33" s="10" t="n">
        <v>7795878.86</v>
      </c>
      <c r="M33" s="10" t="n">
        <v>83438.48</v>
      </c>
      <c r="N33" s="10" t="n">
        <v>0</v>
      </c>
      <c r="O33" s="10" t="n">
        <v>7712440.38</v>
      </c>
      <c r="P33" s="10" t="n">
        <v>6575561</v>
      </c>
      <c r="Q33" s="10" t="n">
        <v>23332486706</v>
      </c>
      <c r="R33" s="9" t="n">
        <v>29</v>
      </c>
    </row>
    <row r="34" customFormat="false" ht="14.25" hidden="false" customHeight="false" outlineLevel="1" collapsed="false">
      <c r="A34" s="11" t="s">
        <v>50</v>
      </c>
      <c r="B34" s="12" t="n">
        <v>297</v>
      </c>
      <c r="C34" s="12" t="n">
        <v>287</v>
      </c>
      <c r="D34" s="12" t="n">
        <v>10</v>
      </c>
      <c r="E34" s="12" t="n">
        <v>9</v>
      </c>
      <c r="F34" s="12" t="n">
        <v>5</v>
      </c>
      <c r="G34" s="13" t="n">
        <v>4</v>
      </c>
      <c r="H34" s="12" t="n">
        <v>4</v>
      </c>
      <c r="I34" s="12" t="n">
        <v>4</v>
      </c>
      <c r="J34" s="13" t="n">
        <v>0</v>
      </c>
      <c r="K34" s="12" t="n">
        <v>7</v>
      </c>
      <c r="L34" s="14" t="n">
        <v>137461.88</v>
      </c>
      <c r="M34" s="14" t="n">
        <v>7502.93</v>
      </c>
      <c r="N34" s="14" t="n">
        <v>129958.95</v>
      </c>
      <c r="O34" s="14" t="n">
        <v>0</v>
      </c>
      <c r="P34" s="14" t="n">
        <v>3229730</v>
      </c>
      <c r="Q34" s="14" t="n">
        <v>8472955496</v>
      </c>
      <c r="R34" s="13" t="n">
        <v>24</v>
      </c>
    </row>
    <row r="35" customFormat="false" ht="14.25" hidden="false" customHeight="false" outlineLevel="1" collapsed="false">
      <c r="A35" s="7" t="s">
        <v>51</v>
      </c>
      <c r="B35" s="8" t="n">
        <v>556</v>
      </c>
      <c r="C35" s="8" t="n">
        <v>482</v>
      </c>
      <c r="D35" s="8" t="n">
        <v>74</v>
      </c>
      <c r="E35" s="8" t="n">
        <v>9</v>
      </c>
      <c r="F35" s="8" t="n">
        <v>5</v>
      </c>
      <c r="G35" s="9" t="n">
        <v>4</v>
      </c>
      <c r="H35" s="8" t="n">
        <v>8</v>
      </c>
      <c r="I35" s="8" t="n">
        <v>7</v>
      </c>
      <c r="J35" s="9" t="n">
        <v>1</v>
      </c>
      <c r="K35" s="8" t="n">
        <v>28</v>
      </c>
      <c r="L35" s="10" t="n">
        <v>73204517.97</v>
      </c>
      <c r="M35" s="10" t="n">
        <v>650809.32</v>
      </c>
      <c r="N35" s="10" t="n">
        <v>228215.82</v>
      </c>
      <c r="O35" s="10" t="n">
        <v>72325492.83</v>
      </c>
      <c r="P35" s="10" t="n">
        <v>55964293</v>
      </c>
      <c r="Q35" s="10" t="n">
        <v>94601679054</v>
      </c>
      <c r="R35" s="9" t="n">
        <v>257</v>
      </c>
    </row>
    <row r="36" customFormat="false" ht="14.25" hidden="false" customHeight="false" outlineLevel="1" collapsed="false">
      <c r="A36" s="11" t="s">
        <v>52</v>
      </c>
      <c r="B36" s="12" t="n">
        <v>356</v>
      </c>
      <c r="C36" s="12" t="n">
        <v>351</v>
      </c>
      <c r="D36" s="12" t="n">
        <v>5</v>
      </c>
      <c r="E36" s="12" t="n">
        <v>5</v>
      </c>
      <c r="F36" s="12" t="n">
        <v>5</v>
      </c>
      <c r="G36" s="13" t="n">
        <v>0</v>
      </c>
      <c r="H36" s="12" t="n">
        <v>8</v>
      </c>
      <c r="I36" s="12" t="n">
        <v>7</v>
      </c>
      <c r="J36" s="13" t="n">
        <v>1</v>
      </c>
      <c r="K36" s="12" t="n">
        <v>14</v>
      </c>
      <c r="L36" s="14" t="n">
        <v>43626378.67</v>
      </c>
      <c r="M36" s="14" t="n">
        <v>31548009.65</v>
      </c>
      <c r="N36" s="14" t="n">
        <v>355212.56</v>
      </c>
      <c r="O36" s="14" t="n">
        <v>11723156.46</v>
      </c>
      <c r="P36" s="14" t="n">
        <v>6924305</v>
      </c>
      <c r="Q36" s="14" t="n">
        <v>20451882615</v>
      </c>
      <c r="R36" s="13" t="n">
        <v>47</v>
      </c>
    </row>
    <row r="37" customFormat="false" ht="14.25" hidden="false" customHeight="false" outlineLevel="1" collapsed="false">
      <c r="A37" s="7" t="s">
        <v>53</v>
      </c>
      <c r="B37" s="8" t="n">
        <v>85</v>
      </c>
      <c r="C37" s="8" t="n">
        <v>61</v>
      </c>
      <c r="D37" s="8" t="n">
        <v>24</v>
      </c>
      <c r="E37" s="8" t="n">
        <v>2</v>
      </c>
      <c r="F37" s="8" t="n">
        <v>2</v>
      </c>
      <c r="G37" s="9" t="n">
        <v>0</v>
      </c>
      <c r="H37" s="8" t="n">
        <v>2</v>
      </c>
      <c r="I37" s="8" t="n">
        <v>1</v>
      </c>
      <c r="J37" s="9" t="n">
        <v>1</v>
      </c>
      <c r="K37" s="8" t="n">
        <v>1</v>
      </c>
      <c r="L37" s="10" t="n">
        <v>3340.63</v>
      </c>
      <c r="M37" s="10" t="n">
        <v>2635</v>
      </c>
      <c r="N37" s="10" t="n">
        <v>705.63</v>
      </c>
      <c r="O37" s="10" t="n">
        <v>0</v>
      </c>
      <c r="P37" s="10" t="n">
        <v>968329</v>
      </c>
      <c r="Q37" s="10" t="n">
        <v>1613379327</v>
      </c>
      <c r="R37" s="9" t="n">
        <v>7</v>
      </c>
    </row>
    <row r="38" customFormat="false" ht="14.25" hidden="false" customHeight="false" outlineLevel="1" collapsed="false">
      <c r="A38" s="11" t="s">
        <v>54</v>
      </c>
      <c r="B38" s="12" t="n">
        <v>1110</v>
      </c>
      <c r="C38" s="12" t="n">
        <v>836</v>
      </c>
      <c r="D38" s="12" t="n">
        <v>274</v>
      </c>
      <c r="E38" s="12" t="n">
        <v>142</v>
      </c>
      <c r="F38" s="12" t="n">
        <v>75</v>
      </c>
      <c r="G38" s="13" t="n">
        <v>67</v>
      </c>
      <c r="H38" s="12" t="n">
        <v>183</v>
      </c>
      <c r="I38" s="12" t="n">
        <v>126</v>
      </c>
      <c r="J38" s="13" t="n">
        <v>57</v>
      </c>
      <c r="K38" s="12" t="n">
        <v>35</v>
      </c>
      <c r="L38" s="14" t="n">
        <v>22607684.54</v>
      </c>
      <c r="M38" s="14" t="n">
        <v>21871894.6</v>
      </c>
      <c r="N38" s="14" t="n">
        <v>26865.43</v>
      </c>
      <c r="O38" s="14" t="n">
        <v>708924.51</v>
      </c>
      <c r="P38" s="14" t="n">
        <v>15996716</v>
      </c>
      <c r="Q38" s="14" t="n">
        <v>32851727654</v>
      </c>
      <c r="R38" s="13" t="n">
        <v>102</v>
      </c>
    </row>
    <row r="39" customFormat="false" ht="14.25" hidden="false" customHeight="false" outlineLevel="1" collapsed="false">
      <c r="A39" s="7" t="s">
        <v>55</v>
      </c>
      <c r="B39" s="8" t="n">
        <v>417</v>
      </c>
      <c r="C39" s="8" t="n">
        <v>309</v>
      </c>
      <c r="D39" s="8" t="n">
        <v>108</v>
      </c>
      <c r="E39" s="8" t="n">
        <v>17</v>
      </c>
      <c r="F39" s="8" t="n">
        <v>4</v>
      </c>
      <c r="G39" s="9" t="n">
        <v>13</v>
      </c>
      <c r="H39" s="8" t="n">
        <v>13</v>
      </c>
      <c r="I39" s="8" t="n">
        <v>6</v>
      </c>
      <c r="J39" s="9" t="n">
        <v>7</v>
      </c>
      <c r="K39" s="8" t="n">
        <v>8</v>
      </c>
      <c r="L39" s="10" t="n">
        <v>2951918.11</v>
      </c>
      <c r="M39" s="10" t="n">
        <v>581724.91</v>
      </c>
      <c r="N39" s="10" t="n">
        <v>23006.08</v>
      </c>
      <c r="O39" s="10" t="n">
        <v>2347187.12</v>
      </c>
      <c r="P39" s="10" t="n">
        <v>3353370</v>
      </c>
      <c r="Q39" s="10" t="n">
        <v>8854437969</v>
      </c>
      <c r="R39" s="9" t="n">
        <v>25</v>
      </c>
    </row>
    <row r="40" customFormat="false" ht="14.25" hidden="false" customHeight="false" outlineLevel="1" collapsed="false">
      <c r="A40" s="11" t="s">
        <v>56</v>
      </c>
      <c r="B40" s="12" t="n">
        <v>82</v>
      </c>
      <c r="C40" s="12" t="n">
        <v>69</v>
      </c>
      <c r="D40" s="12" t="n">
        <v>13</v>
      </c>
      <c r="E40" s="12" t="n">
        <v>11</v>
      </c>
      <c r="F40" s="12" t="n">
        <v>4</v>
      </c>
      <c r="G40" s="13" t="n">
        <v>7</v>
      </c>
      <c r="H40" s="12" t="n">
        <v>14</v>
      </c>
      <c r="I40" s="12" t="n">
        <v>8</v>
      </c>
      <c r="J40" s="13" t="n">
        <v>6</v>
      </c>
      <c r="K40" s="12" t="n">
        <v>5</v>
      </c>
      <c r="L40" s="14" t="n">
        <v>30309176.9</v>
      </c>
      <c r="M40" s="14" t="n">
        <v>535677.84</v>
      </c>
      <c r="N40" s="14" t="n">
        <v>34010.63</v>
      </c>
      <c r="O40" s="14" t="n">
        <v>29739488.43</v>
      </c>
      <c r="P40" s="14" t="n">
        <v>4097000</v>
      </c>
      <c r="Q40" s="14" t="n">
        <v>15327891373</v>
      </c>
      <c r="R40" s="13" t="n">
        <v>18</v>
      </c>
    </row>
    <row r="41" customFormat="false" ht="14.25" hidden="false" customHeight="false" outlineLevel="1" collapsed="false">
      <c r="A41" s="7" t="s">
        <v>57</v>
      </c>
      <c r="B41" s="8" t="n">
        <v>578</v>
      </c>
      <c r="C41" s="8" t="n">
        <v>461</v>
      </c>
      <c r="D41" s="8" t="n">
        <v>117</v>
      </c>
      <c r="E41" s="8" t="n">
        <v>97</v>
      </c>
      <c r="F41" s="8" t="n">
        <v>84</v>
      </c>
      <c r="G41" s="9" t="n">
        <v>13</v>
      </c>
      <c r="H41" s="8" t="n">
        <v>61</v>
      </c>
      <c r="I41" s="8" t="n">
        <v>52</v>
      </c>
      <c r="J41" s="9" t="n">
        <v>9</v>
      </c>
      <c r="K41" s="8" t="n">
        <v>3</v>
      </c>
      <c r="L41" s="10" t="n">
        <v>20115260.32</v>
      </c>
      <c r="M41" s="10" t="n">
        <v>8184259.98</v>
      </c>
      <c r="N41" s="10" t="n">
        <v>249107.34</v>
      </c>
      <c r="O41" s="10" t="n">
        <v>11681893</v>
      </c>
      <c r="P41" s="10" t="n">
        <v>11049587</v>
      </c>
      <c r="Q41" s="10" t="n">
        <v>44971355512</v>
      </c>
      <c r="R41" s="9" t="n">
        <v>71</v>
      </c>
    </row>
    <row r="42" customFormat="false" ht="14.25" hidden="false" customHeight="false" outlineLevel="1" collapsed="false">
      <c r="A42" s="11" t="s">
        <v>58</v>
      </c>
      <c r="B42" s="12" t="n">
        <v>80</v>
      </c>
      <c r="C42" s="12" t="n">
        <v>56</v>
      </c>
      <c r="D42" s="12" t="n">
        <v>24</v>
      </c>
      <c r="E42" s="12" t="n">
        <v>9</v>
      </c>
      <c r="F42" s="12" t="n">
        <v>4</v>
      </c>
      <c r="G42" s="13" t="n">
        <v>5</v>
      </c>
      <c r="H42" s="12" t="n">
        <v>6</v>
      </c>
      <c r="I42" s="12" t="n">
        <v>1</v>
      </c>
      <c r="J42" s="13" t="n">
        <v>5</v>
      </c>
      <c r="K42" s="12" t="n">
        <v>1</v>
      </c>
      <c r="L42" s="14" t="n">
        <v>363639.61</v>
      </c>
      <c r="M42" s="14" t="n">
        <v>63639.61</v>
      </c>
      <c r="N42" s="14" t="n">
        <v>0</v>
      </c>
      <c r="O42" s="14" t="n">
        <v>300000</v>
      </c>
      <c r="P42" s="14" t="n">
        <v>1203748</v>
      </c>
      <c r="Q42" s="14" t="n">
        <v>4015440619</v>
      </c>
      <c r="R42" s="13" t="n">
        <v>17</v>
      </c>
    </row>
    <row r="43" customFormat="false" ht="14.25" hidden="false" customHeight="false" outlineLevel="1" collapsed="false">
      <c r="A43" s="7" t="s">
        <v>59</v>
      </c>
      <c r="B43" s="8" t="n">
        <v>134</v>
      </c>
      <c r="C43" s="8" t="n">
        <v>113</v>
      </c>
      <c r="D43" s="8" t="n">
        <v>21</v>
      </c>
      <c r="E43" s="8" t="n">
        <v>8</v>
      </c>
      <c r="F43" s="8" t="n">
        <v>0</v>
      </c>
      <c r="G43" s="9" t="n">
        <v>8</v>
      </c>
      <c r="H43" s="8" t="n">
        <v>4</v>
      </c>
      <c r="I43" s="8" t="n">
        <v>1</v>
      </c>
      <c r="J43" s="9" t="n">
        <v>3</v>
      </c>
      <c r="K43" s="8" t="n">
        <v>2</v>
      </c>
      <c r="L43" s="10" t="n">
        <v>232396.5</v>
      </c>
      <c r="M43" s="10" t="n">
        <v>15690</v>
      </c>
      <c r="N43" s="10" t="n">
        <v>105920.3</v>
      </c>
      <c r="O43" s="10" t="n">
        <v>110786.2</v>
      </c>
      <c r="P43" s="10" t="n">
        <v>1202585</v>
      </c>
      <c r="Q43" s="10" t="n">
        <v>3685175562</v>
      </c>
      <c r="R43" s="9" t="n">
        <v>10</v>
      </c>
    </row>
    <row r="44" customFormat="false" ht="14.25" hidden="false" customHeight="false" outlineLevel="1" collapsed="false">
      <c r="A44" s="11" t="s">
        <v>60</v>
      </c>
      <c r="B44" s="12" t="n">
        <v>193</v>
      </c>
      <c r="C44" s="12" t="n">
        <v>87</v>
      </c>
      <c r="D44" s="12" t="n">
        <v>106</v>
      </c>
      <c r="E44" s="12" t="n">
        <v>31</v>
      </c>
      <c r="F44" s="12" t="n">
        <v>4</v>
      </c>
      <c r="G44" s="13" t="n">
        <v>27</v>
      </c>
      <c r="H44" s="12" t="n">
        <v>27</v>
      </c>
      <c r="I44" s="12" t="n">
        <v>5</v>
      </c>
      <c r="J44" s="13" t="n">
        <v>22</v>
      </c>
      <c r="K44" s="12" t="n">
        <v>4</v>
      </c>
      <c r="L44" s="14" t="n">
        <v>1298036.57</v>
      </c>
      <c r="M44" s="14" t="n">
        <v>1195431.3</v>
      </c>
      <c r="N44" s="14" t="n">
        <v>89990.98</v>
      </c>
      <c r="O44" s="14" t="n">
        <v>12614.29</v>
      </c>
      <c r="P44" s="14" t="n">
        <v>2574832</v>
      </c>
      <c r="Q44" s="14" t="n">
        <v>8871688570</v>
      </c>
      <c r="R44" s="13" t="n">
        <v>19</v>
      </c>
    </row>
    <row r="45" customFormat="false" ht="14.25" hidden="false" customHeight="false" outlineLevel="1" collapsed="false">
      <c r="A45" s="7" t="s">
        <v>61</v>
      </c>
      <c r="B45" s="8" t="n">
        <v>69</v>
      </c>
      <c r="C45" s="8" t="n">
        <v>44</v>
      </c>
      <c r="D45" s="8" t="n">
        <v>25</v>
      </c>
      <c r="E45" s="8" t="n">
        <v>0</v>
      </c>
      <c r="F45" s="8" t="n">
        <v>0</v>
      </c>
      <c r="G45" s="9" t="n">
        <v>0</v>
      </c>
      <c r="H45" s="8" t="n">
        <v>1</v>
      </c>
      <c r="I45" s="8" t="n">
        <v>0</v>
      </c>
      <c r="J45" s="9" t="n">
        <v>1</v>
      </c>
      <c r="K45" s="8" t="n">
        <v>3</v>
      </c>
      <c r="L45" s="10" t="n">
        <v>250566.93</v>
      </c>
      <c r="M45" s="10" t="n">
        <v>154302.35</v>
      </c>
      <c r="N45" s="10" t="n">
        <v>5189.86</v>
      </c>
      <c r="O45" s="10" t="n">
        <v>91074.72</v>
      </c>
      <c r="P45" s="10" t="n">
        <v>494659</v>
      </c>
      <c r="Q45" s="10" t="n">
        <v>1263615866</v>
      </c>
      <c r="R45" s="9" t="n">
        <v>5</v>
      </c>
    </row>
    <row r="46" customFormat="false" ht="14.25" hidden="false" customHeight="false" outlineLevel="1" collapsed="false">
      <c r="A46" s="11" t="s">
        <v>62</v>
      </c>
      <c r="B46" s="12" t="n">
        <v>209</v>
      </c>
      <c r="C46" s="12" t="n">
        <v>171</v>
      </c>
      <c r="D46" s="12" t="n">
        <v>38</v>
      </c>
      <c r="E46" s="12" t="n">
        <v>32</v>
      </c>
      <c r="F46" s="12" t="n">
        <v>26</v>
      </c>
      <c r="G46" s="13" t="n">
        <v>6</v>
      </c>
      <c r="H46" s="12" t="n">
        <v>31</v>
      </c>
      <c r="I46" s="12" t="n">
        <v>21</v>
      </c>
      <c r="J46" s="13" t="n">
        <v>10</v>
      </c>
      <c r="K46" s="12" t="n">
        <v>16</v>
      </c>
      <c r="L46" s="14" t="n">
        <v>42953624.32</v>
      </c>
      <c r="M46" s="14" t="n">
        <v>10183798.82</v>
      </c>
      <c r="N46" s="14" t="n">
        <v>435893.98</v>
      </c>
      <c r="O46" s="14" t="n">
        <v>32333931.52</v>
      </c>
      <c r="P46" s="14" t="n">
        <v>9236731</v>
      </c>
      <c r="Q46" s="14" t="n">
        <v>13434201648</v>
      </c>
      <c r="R46" s="13" t="n">
        <v>57</v>
      </c>
    </row>
    <row r="47" customFormat="false" ht="14.25" hidden="false" customHeight="false" outlineLevel="1" collapsed="false">
      <c r="A47" s="7" t="s">
        <v>63</v>
      </c>
      <c r="B47" s="8" t="n">
        <v>1087</v>
      </c>
      <c r="C47" s="8" t="n">
        <v>1003</v>
      </c>
      <c r="D47" s="8" t="n">
        <v>84</v>
      </c>
      <c r="E47" s="8" t="n">
        <v>77</v>
      </c>
      <c r="F47" s="8" t="n">
        <v>70</v>
      </c>
      <c r="G47" s="9" t="n">
        <v>7</v>
      </c>
      <c r="H47" s="8" t="n">
        <v>60</v>
      </c>
      <c r="I47" s="8" t="n">
        <v>55</v>
      </c>
      <c r="J47" s="9" t="n">
        <v>5</v>
      </c>
      <c r="K47" s="8" t="n">
        <v>12</v>
      </c>
      <c r="L47" s="10" t="n">
        <v>283141068.88</v>
      </c>
      <c r="M47" s="10" t="n">
        <v>68722279.6</v>
      </c>
      <c r="N47" s="10" t="n">
        <v>799994.22</v>
      </c>
      <c r="O47" s="10" t="n">
        <v>213618795.06</v>
      </c>
      <c r="P47" s="10" t="n">
        <v>24617759</v>
      </c>
      <c r="Q47" s="10" t="n">
        <v>58422862375</v>
      </c>
      <c r="R47" s="9" t="n">
        <v>147</v>
      </c>
    </row>
    <row r="48" customFormat="false" ht="14.25" hidden="false" customHeight="false" outlineLevel="1" collapsed="false">
      <c r="A48" s="11" t="s">
        <v>64</v>
      </c>
      <c r="B48" s="12" t="n">
        <v>6</v>
      </c>
      <c r="C48" s="12" t="n">
        <v>6</v>
      </c>
      <c r="D48" s="12" t="n">
        <v>0</v>
      </c>
      <c r="E48" s="12" t="n">
        <v>0</v>
      </c>
      <c r="F48" s="12" t="n">
        <v>0</v>
      </c>
      <c r="G48" s="13" t="n">
        <v>0</v>
      </c>
      <c r="H48" s="12" t="n">
        <v>1</v>
      </c>
      <c r="I48" s="12" t="n">
        <v>1</v>
      </c>
      <c r="J48" s="13" t="n">
        <v>0</v>
      </c>
      <c r="K48" s="12" t="n">
        <v>0</v>
      </c>
      <c r="L48" s="14" t="n">
        <v>29539.03</v>
      </c>
      <c r="M48" s="14" t="n">
        <v>29539.03</v>
      </c>
      <c r="N48" s="14" t="n">
        <v>0</v>
      </c>
      <c r="O48" s="14" t="n">
        <v>0</v>
      </c>
      <c r="P48" s="14" t="n">
        <v>441206</v>
      </c>
      <c r="Q48" s="14" t="n">
        <v>179692945</v>
      </c>
      <c r="R48" s="13" t="n">
        <v>3</v>
      </c>
    </row>
    <row r="49" customFormat="false" ht="14.25" hidden="false" customHeight="false" outlineLevel="1" collapsed="false">
      <c r="A49" s="7" t="s">
        <v>65</v>
      </c>
      <c r="B49" s="8" t="n">
        <v>131</v>
      </c>
      <c r="C49" s="8" t="n">
        <v>87</v>
      </c>
      <c r="D49" s="8" t="n">
        <v>44</v>
      </c>
      <c r="E49" s="8" t="n">
        <v>21</v>
      </c>
      <c r="F49" s="8" t="n">
        <v>5</v>
      </c>
      <c r="G49" s="9" t="n">
        <v>16</v>
      </c>
      <c r="H49" s="8" t="n">
        <v>20</v>
      </c>
      <c r="I49" s="8" t="n">
        <v>10</v>
      </c>
      <c r="J49" s="9" t="n">
        <v>10</v>
      </c>
      <c r="K49" s="8" t="n">
        <v>6</v>
      </c>
      <c r="L49" s="10" t="n">
        <v>2225121.55</v>
      </c>
      <c r="M49" s="10" t="n">
        <v>341748.25</v>
      </c>
      <c r="N49" s="10" t="n">
        <v>13450.04</v>
      </c>
      <c r="O49" s="10" t="n">
        <v>1869923.26</v>
      </c>
      <c r="P49" s="10" t="n">
        <v>3250291</v>
      </c>
      <c r="Q49" s="10" t="n">
        <v>4728174660</v>
      </c>
      <c r="R49" s="9" t="n">
        <v>19</v>
      </c>
    </row>
    <row r="50" customFormat="false" ht="14.25" hidden="false" customHeight="false" outlineLevel="1" collapsed="false">
      <c r="A50" s="11" t="s">
        <v>66</v>
      </c>
      <c r="B50" s="12" t="n">
        <v>94</v>
      </c>
      <c r="C50" s="12" t="n">
        <v>36</v>
      </c>
      <c r="D50" s="12" t="n">
        <v>58</v>
      </c>
      <c r="E50" s="12" t="n">
        <v>6</v>
      </c>
      <c r="F50" s="12" t="n">
        <v>4</v>
      </c>
      <c r="G50" s="13" t="n">
        <v>2</v>
      </c>
      <c r="H50" s="12" t="n">
        <v>8</v>
      </c>
      <c r="I50" s="12" t="n">
        <v>3</v>
      </c>
      <c r="J50" s="13" t="n">
        <v>5</v>
      </c>
      <c r="K50" s="12" t="n">
        <v>5</v>
      </c>
      <c r="L50" s="14" t="n">
        <v>177977</v>
      </c>
      <c r="M50" s="14" t="n">
        <v>25822</v>
      </c>
      <c r="N50" s="14" t="n">
        <v>38988</v>
      </c>
      <c r="O50" s="14" t="n">
        <v>113167</v>
      </c>
      <c r="P50" s="14" t="n">
        <v>1473791</v>
      </c>
      <c r="Q50" s="14" t="n">
        <v>2174979993</v>
      </c>
      <c r="R50" s="13" t="n">
        <v>9</v>
      </c>
    </row>
    <row r="51" customFormat="false" ht="14.25" hidden="false" customHeight="false" outlineLevel="1" collapsed="false">
      <c r="A51" s="7" t="s">
        <v>67</v>
      </c>
      <c r="B51" s="8" t="n">
        <v>302</v>
      </c>
      <c r="C51" s="8" t="n">
        <v>299</v>
      </c>
      <c r="D51" s="8" t="n">
        <v>3</v>
      </c>
      <c r="E51" s="8" t="n">
        <v>33</v>
      </c>
      <c r="F51" s="8" t="n">
        <v>29</v>
      </c>
      <c r="G51" s="9" t="n">
        <v>4</v>
      </c>
      <c r="H51" s="8" t="n">
        <v>24</v>
      </c>
      <c r="I51" s="8" t="n">
        <v>21</v>
      </c>
      <c r="J51" s="9" t="n">
        <v>3</v>
      </c>
      <c r="K51" s="8" t="n">
        <v>10</v>
      </c>
      <c r="L51" s="10" t="n">
        <v>14594631.85</v>
      </c>
      <c r="M51" s="10" t="n">
        <v>9912494.66</v>
      </c>
      <c r="N51" s="10" t="n">
        <v>105014.41</v>
      </c>
      <c r="O51" s="10" t="n">
        <v>4577122.78</v>
      </c>
      <c r="P51" s="10" t="n">
        <v>14295387</v>
      </c>
      <c r="Q51" s="10" t="n">
        <v>21599145038</v>
      </c>
      <c r="R51" s="9" t="n">
        <v>94</v>
      </c>
    </row>
    <row r="52" customFormat="false" ht="14.25" hidden="false" customHeight="false" outlineLevel="1" collapsed="false">
      <c r="A52" s="11" t="s">
        <v>68</v>
      </c>
      <c r="B52" s="12" t="n">
        <v>502</v>
      </c>
      <c r="C52" s="12" t="n">
        <v>462</v>
      </c>
      <c r="D52" s="12" t="n">
        <v>40</v>
      </c>
      <c r="E52" s="12" t="n">
        <v>24</v>
      </c>
      <c r="F52" s="12" t="n">
        <v>21</v>
      </c>
      <c r="G52" s="13" t="n">
        <v>3</v>
      </c>
      <c r="H52" s="12" t="n">
        <v>13</v>
      </c>
      <c r="I52" s="12" t="n">
        <v>12</v>
      </c>
      <c r="J52" s="13" t="n">
        <v>1</v>
      </c>
      <c r="K52" s="12" t="n">
        <v>8</v>
      </c>
      <c r="L52" s="14" t="n">
        <v>2295369.58</v>
      </c>
      <c r="M52" s="14" t="n">
        <v>1200</v>
      </c>
      <c r="N52" s="14" t="n">
        <v>367762.86</v>
      </c>
      <c r="O52" s="14" t="n">
        <v>1926406.72</v>
      </c>
      <c r="P52" s="14" t="n">
        <v>9859549</v>
      </c>
      <c r="Q52" s="14" t="n">
        <v>19498539690</v>
      </c>
      <c r="R52" s="13" t="n">
        <v>55</v>
      </c>
    </row>
    <row r="53" customFormat="false" ht="14.25" hidden="false" customHeight="false" outlineLevel="1" collapsed="false">
      <c r="A53" s="7" t="s">
        <v>69</v>
      </c>
      <c r="B53" s="8" t="n">
        <v>183</v>
      </c>
      <c r="C53" s="8" t="n">
        <v>170</v>
      </c>
      <c r="D53" s="8" t="n">
        <v>13</v>
      </c>
      <c r="E53" s="8" t="n">
        <v>8</v>
      </c>
      <c r="F53" s="8" t="n">
        <v>5</v>
      </c>
      <c r="G53" s="9" t="n">
        <v>3</v>
      </c>
      <c r="H53" s="8" t="n">
        <v>12</v>
      </c>
      <c r="I53" s="8" t="n">
        <v>11</v>
      </c>
      <c r="J53" s="9" t="n">
        <v>1</v>
      </c>
      <c r="K53" s="8" t="n">
        <v>14</v>
      </c>
      <c r="L53" s="10" t="n">
        <v>1311704.57</v>
      </c>
      <c r="M53" s="10" t="n">
        <v>74377.31</v>
      </c>
      <c r="N53" s="10" t="n">
        <v>5196.58</v>
      </c>
      <c r="O53" s="10" t="n">
        <v>1232130.68</v>
      </c>
      <c r="P53" s="10" t="n">
        <v>2377529</v>
      </c>
      <c r="Q53" s="10" t="n">
        <v>5690158919</v>
      </c>
      <c r="R53" s="9" t="n">
        <v>25</v>
      </c>
    </row>
    <row r="54" customFormat="false" ht="14.25" hidden="false" customHeight="false" outlineLevel="1" collapsed="false">
      <c r="A54" s="11" t="s">
        <v>70</v>
      </c>
      <c r="B54" s="12" t="n">
        <v>143</v>
      </c>
      <c r="C54" s="12" t="n">
        <v>132</v>
      </c>
      <c r="D54" s="12" t="n">
        <v>11</v>
      </c>
      <c r="E54" s="12" t="n">
        <v>7</v>
      </c>
      <c r="F54" s="12" t="n">
        <v>7</v>
      </c>
      <c r="G54" s="13" t="n">
        <v>0</v>
      </c>
      <c r="H54" s="12" t="n">
        <v>5</v>
      </c>
      <c r="I54" s="12" t="n">
        <v>2</v>
      </c>
      <c r="J54" s="13" t="n">
        <v>3</v>
      </c>
      <c r="K54" s="12" t="n">
        <v>3</v>
      </c>
      <c r="L54" s="14" t="n">
        <v>7139695</v>
      </c>
      <c r="M54" s="14" t="n">
        <v>381518</v>
      </c>
      <c r="N54" s="14" t="n">
        <v>13632</v>
      </c>
      <c r="O54" s="14" t="n">
        <v>6744545</v>
      </c>
      <c r="P54" s="14" t="n">
        <v>1716499</v>
      </c>
      <c r="Q54" s="14" t="n">
        <v>12532534415</v>
      </c>
      <c r="R54" s="13" t="n">
        <v>10</v>
      </c>
    </row>
    <row r="55" customFormat="false" ht="14.25" hidden="false" customHeight="false" outlineLevel="1" collapsed="false">
      <c r="A55" s="7" t="s">
        <v>71</v>
      </c>
      <c r="B55" s="8" t="n">
        <v>49</v>
      </c>
      <c r="C55" s="8" t="n">
        <v>43</v>
      </c>
      <c r="D55" s="8" t="n">
        <v>6</v>
      </c>
      <c r="E55" s="8" t="n">
        <v>0</v>
      </c>
      <c r="F55" s="8" t="n">
        <v>0</v>
      </c>
      <c r="G55" s="9" t="n">
        <v>0</v>
      </c>
      <c r="H55" s="8" t="n">
        <v>0</v>
      </c>
      <c r="I55" s="8" t="n">
        <v>0</v>
      </c>
      <c r="J55" s="9" t="n">
        <v>0</v>
      </c>
      <c r="K55" s="8" t="n">
        <v>1</v>
      </c>
      <c r="L55" s="10" t="n">
        <v>604586.38</v>
      </c>
      <c r="M55" s="10" t="n">
        <v>0</v>
      </c>
      <c r="N55" s="10" t="n">
        <v>0</v>
      </c>
      <c r="O55" s="10" t="n">
        <v>604586.38</v>
      </c>
      <c r="P55" s="10" t="n">
        <v>488861</v>
      </c>
      <c r="Q55" s="10" t="n">
        <v>777634001</v>
      </c>
      <c r="R55" s="9" t="n">
        <v>4</v>
      </c>
    </row>
    <row r="56" customFormat="false" ht="14.25" hidden="false" customHeight="false" outlineLevel="1" collapsed="false">
      <c r="A56" s="15" t="s">
        <v>72</v>
      </c>
      <c r="B56" s="16" t="n">
        <f aca="false">SUM(B3:B55)</f>
        <v>16833</v>
      </c>
      <c r="C56" s="16" t="n">
        <f aca="false">SUM(C3:C55)</f>
        <v>13739</v>
      </c>
      <c r="D56" s="16" t="n">
        <f aca="false">SUM(D3:D55)</f>
        <v>3094</v>
      </c>
      <c r="E56" s="16" t="n">
        <f aca="false">SUM(E3:E55)</f>
        <v>1342</v>
      </c>
      <c r="F56" s="16" t="n">
        <f aca="false">SUM(F3:F55)</f>
        <v>912</v>
      </c>
      <c r="G56" s="17" t="n">
        <f aca="false">SUM(G3:G55)</f>
        <v>430</v>
      </c>
      <c r="H56" s="16" t="n">
        <f aca="false">SUM(H3:H55)</f>
        <v>1143</v>
      </c>
      <c r="I56" s="16" t="n">
        <f aca="false">SUM(I3:I55)</f>
        <v>814</v>
      </c>
      <c r="J56" s="17" t="n">
        <f aca="false">SUM(J3:J55)</f>
        <v>329</v>
      </c>
      <c r="K56" s="16" t="n">
        <f aca="false">SUM(K3:K55)</f>
        <v>436</v>
      </c>
      <c r="L56" s="18" t="n">
        <f aca="false">SUM(L3:L55)</f>
        <v>1234747736.92</v>
      </c>
      <c r="M56" s="18" t="n">
        <f aca="false">SUM(M3:M55)</f>
        <v>272227586.57</v>
      </c>
      <c r="N56" s="18" t="n">
        <f aca="false">SUM(N3:N55)</f>
        <v>23401294.68</v>
      </c>
      <c r="O56" s="18" t="n">
        <f aca="false">SUM(O3:O55)</f>
        <v>939118855.67</v>
      </c>
      <c r="P56" s="18" t="n">
        <f aca="false">SUM(P3:P55)</f>
        <v>368680254</v>
      </c>
      <c r="Q56" s="18" t="n">
        <f aca="false">SUM(Q3:Q55)</f>
        <v>893144356932</v>
      </c>
      <c r="R56" s="19" t="n">
        <f aca="false">SUM(R3:R55)</f>
        <v>2096</v>
      </c>
    </row>
    <row r="58" customFormat="false" ht="14.9" hidden="false" customHeight="false" outlineLevel="0" collapsed="false">
      <c r="A58" s="20" t="s">
        <v>73</v>
      </c>
      <c r="O58" s="21"/>
      <c r="P58" s="22"/>
      <c r="Q58" s="22"/>
      <c r="R58" s="22"/>
    </row>
    <row r="59" customFormat="false" ht="14.9" hidden="false" customHeight="false" outlineLevel="0" collapsed="false">
      <c r="A59" s="20" t="s">
        <v>74</v>
      </c>
    </row>
    <row r="60" customFormat="false" ht="14.9" hidden="false" customHeight="false" outlineLevel="0" collapsed="false">
      <c r="A60" s="20" t="s">
        <v>75</v>
      </c>
      <c r="O60" s="21"/>
      <c r="P60" s="23"/>
      <c r="Q60" s="23"/>
      <c r="R60" s="23"/>
    </row>
    <row r="61" customFormat="false" ht="14.9" hidden="false" customHeight="false" outlineLevel="0" collapsed="false">
      <c r="A61" s="20" t="s">
        <v>76</v>
      </c>
      <c r="O61" s="21"/>
      <c r="P61" s="24"/>
      <c r="Q61" s="24"/>
      <c r="R61" s="24"/>
    </row>
    <row r="62" customFormat="false" ht="14.9" hidden="false" customHeight="false" outlineLevel="0" collapsed="false">
      <c r="A62" s="20" t="s">
        <v>77</v>
      </c>
    </row>
    <row r="63" customFormat="false" ht="14.25" hidden="false" customHeight="false" outlineLevel="0" collapsed="false">
      <c r="O63" s="21"/>
      <c r="P63" s="22"/>
      <c r="Q63" s="22"/>
      <c r="R63" s="22"/>
    </row>
    <row r="64" customFormat="false" ht="14.25" hidden="false" customHeight="false" outlineLevel="0" collapsed="false">
      <c r="A64" s="1" t="s">
        <v>78</v>
      </c>
    </row>
    <row r="65" customFormat="false" ht="14.25" hidden="false" customHeight="false" outlineLevel="0" collapsed="false">
      <c r="O65" s="21"/>
      <c r="P65" s="24"/>
      <c r="Q65" s="24"/>
      <c r="R65" s="24"/>
    </row>
    <row r="70" customFormat="false" ht="14.25" hidden="false" customHeight="false" outlineLevel="0" collapsed="false">
      <c r="P70" s="25"/>
    </row>
  </sheetData>
  <sheetProtection algorithmName="SHA-512" hashValue="7+lCaTAsBbE5MhXsU89TSW9f7cq4nyP3EfLxmUwH98SHQRRaHRQ9X+Yo3FTPNB0jPTcgG5s/fO/bebxst6JKQg==" saltValue="2LJf4Zg+Yl0aKVhYLzQHcw==" spinCount="100000" sheet="true" objects="true" scenarios="true"/>
  <printOptions headings="false" gridLines="false" gridLinesSet="true" horizontalCentered="true" verticalCentered="tru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2019-01-23T21:21:11Z</dcterms:created>
  <dc:creator>Apache POI</dc:creator>
  <dc:description/>
  <dc:language>en-US</dc:language>
  <cp:lastModifiedBy>Peters, Keith J (OIG/OEI)</cp:lastModifiedBy>
  <cp:lastPrinted>2024-03-11T17:47:26Z</cp:lastPrinted>
  <dcterms:modified xsi:type="dcterms:W3CDTF">2025-07-24T18:30:37Z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