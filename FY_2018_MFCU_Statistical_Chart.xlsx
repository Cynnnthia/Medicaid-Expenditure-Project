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<sst xmlns="http://schemas.openxmlformats.org/spreadsheetml/2006/main" count="76" uniqueCount="76">
  <si>
    <t xml:space="preserve">FY 2018 MFCU Statistical Chart</t>
  </si>
  <si>
    <t xml:space="preserve">State</t>
  </si>
  <si>
    <r>
      <rPr>
        <b val="true"/>
        <sz val="11"/>
        <color theme="0"/>
        <rFont val="Calibri"/>
        <family val="2"/>
        <charset val="1"/>
      </rPr>
      <t xml:space="preserve">Total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</si>
  <si>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Fraud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</si>
  <si>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Abuse/Neglect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</si>
  <si>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</si>
  <si>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</si>
  <si>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</si>
  <si>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</si>
  <si>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</si>
  <si>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</si>
  <si>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</si>
  <si>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theme="0"/>
        <rFont val="Calibri"/>
        <family val="2"/>
        <charset val="1"/>
      </rPr>
      <t xml:space="preserve">Total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</si>
  <si>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Total Criminal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</si>
  <si>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Civil Recoveries Global</t>
    </r>
    <r>
      <rPr>
        <b val="true"/>
        <vertAlign val="superscript"/>
        <sz val="11"/>
        <color theme="0"/>
        <rFont val="Calibri"/>
        <family val="2"/>
        <charset val="1"/>
      </rPr>
      <t xml:space="preserve">2,4</t>
    </r>
  </si>
  <si>
    <r>
      <rPr>
        <b val="true"/>
        <sz val="11"/>
        <color theme="0"/>
        <rFont val="Calibri"/>
        <family val="2"/>
        <charset val="1"/>
      </rPr>
      <t xml:space="preserve">Civil Recoveries Other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</si>
  <si>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MFCU Grant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</si>
  <si>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Total Medicaid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</si>
  <si>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Staff On Board</t>
    </r>
    <r>
      <rPr>
        <b val="true"/>
        <vertAlign val="superscript"/>
        <sz val="11"/>
        <color theme="0"/>
        <rFont val="Calibri"/>
        <family val="2"/>
        <charset val="1"/>
      </rPr>
      <t xml:space="preserve">5</t>
    </r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</si>
  <si>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</si>
  <si>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</si>
  <si>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</si>
  <si>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</si>
  <si>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</si>
  <si>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</si>
  <si>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</si>
  <si>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</si>
  <si>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</si>
  <si>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</si>
  <si>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</si>
  <si>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</si>
  <si>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</si>
  <si>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</si>
  <si>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</si>
  <si>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</si>
  <si>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</si>
  <si>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</si>
  <si>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</si>
  <si>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</si>
  <si>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</si>
  <si>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</si>
  <si>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</si>
  <si>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</si>
  <si>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</si>
  <si>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</si>
  <si>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</si>
  <si>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</si>
  <si>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</si>
  <si>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</si>
  <si>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</si>
  <si>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</si>
  <si>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</si>
  <si>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</si>
  <si>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</si>
  <si>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</si>
  <si>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</si>
  <si>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</si>
  <si>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</si>
  <si>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</si>
  <si>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</si>
  <si>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</si>
  <si>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</si>
  <si>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</si>
  <si>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</si>
  <si>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</si>
  <si>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</si>
  <si>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</si>
  <si>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</si>
  <si>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</si>
  <si>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GRAND TOTAL</t>
  </si>
  <si>
    <r>
      <rPr>
        <vertAlign val="super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Investigations are defined as the total number of open investigations at the end of the fiscal year.</t>
    </r>
  </si>
  <si>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  </r>
  </si>
  <si>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MFCU and Medicaid Expenditures include both State and Federal expenditures.  </t>
    </r>
  </si>
  <si>
    <r>
      <rPr>
        <vertAlign val="superscript"/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Calibri"/>
        <family val="2"/>
        <charset val="1"/>
      </rPr>
      <t xml:space="preserve"> “Global” recoveries derive from civil settlements or judgments involving the U.S. Department of Justice and a group of State MFCUs and are facilitated by the National Association of Medicaid Fraud Control Units.</t>
    </r>
  </si>
  <si>
    <r>
      <rPr>
        <vertAlign val="superscript"/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Calibri"/>
        <family val="2"/>
        <charset val="1"/>
      </rPr>
      <t xml:space="preserve"> Staff on Board is defined as the total number of staff employed by the Unit at the end of the fiscal year.</t>
    </r>
  </si>
  <si>
    <t xml:space="preserve">Information in this chart was reported to OIG by the 50 State MFCUs, except Medicaid Expenditures.  All information is current as of February 27, 2019.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</si>
</sst>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_);\(#,##0\)"/>
    <numFmt numFmtId="166" formatCode="\$#,##0_);&quot;($&quot;#,##0\)"/>
    <numFmt numFmtId="167" formatCode="#,##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8" tint="-0.2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vertAlign val="superscript"/>
      <sz val="11"/>
      <color theme="0"/>
      <name val="Calibri"/>
      <family val="2"/>
      <charset val="1"/>
    </font>
    <font>
      <sz val="11"/>
      <color rgb="FF444649"/>
      <name val="Calibri"/>
      <family val="2"/>
      <charset val="1"/>
    </font>
    <font>
      <b val="true"/>
      <sz val="11"/>
      <color rgb="FF444649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2F5597"/>
      </patternFill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theme="1"/>
      </top>
      <bottom style="medium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4446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6" activePane="bottomRight" state="frozen"/>
      <selection pane="topLeft" activeCell="A1" activeCellId="0" sqref="A1"/>
      <selection pane="topRight" activeCell="B1" activeCellId="0" sqref="B1"/>
      <selection pane="bottomLeft" activeCell="A36" activeCellId="0" sqref="A36"/>
      <selection pane="bottomRight" activeCell="I43" activeCellId="0" sqref="I4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9.54"/>
    <col collapsed="false" customWidth="true" hidden="false" outlineLevel="0" max="3" min="2" style="0" width="13.63"/>
    <col collapsed="false" customWidth="true" hidden="false" outlineLevel="0" max="4" min="4" style="0" width="13.73"/>
    <col collapsed="false" customWidth="true" hidden="false" outlineLevel="0" max="6" min="5" style="0" width="11"/>
    <col collapsed="false" customWidth="true" hidden="false" outlineLevel="0" max="7" min="7" style="0" width="13.73"/>
    <col collapsed="false" customWidth="true" hidden="false" outlineLevel="0" max="9" min="8" style="0" width="10.73"/>
    <col collapsed="false" customWidth="true" hidden="false" outlineLevel="0" max="10" min="10" style="0" width="13.73"/>
    <col collapsed="false" customWidth="true" hidden="false" outlineLevel="0" max="11" min="11" style="0" width="15.54"/>
    <col collapsed="false" customWidth="true" hidden="false" outlineLevel="0" max="12" min="12" style="0" width="15.63"/>
    <col collapsed="false" customWidth="true" hidden="false" outlineLevel="0" max="13" min="13" style="0" width="13.09"/>
    <col collapsed="false" customWidth="true" hidden="false" outlineLevel="0" max="14" min="14" style="0" width="13.63"/>
    <col collapsed="false" customWidth="true" hidden="false" outlineLevel="0" max="15" min="15" style="0" width="13.73"/>
    <col collapsed="false" customWidth="true" hidden="false" outlineLevel="0" max="17" min="16" style="0" width="19.45"/>
    <col collapsed="false" customWidth="true" hidden="false" outlineLevel="0" max="18" min="18" style="0" width="8.82"/>
  </cols>
  <sheetData>
    <row r="1" customFormat="false" ht="18.55" hidden="false" customHeight="false" outlineLevel="0" collapsed="false">
      <c r="A1" s="1" t="s">
        <v>0</v>
      </c>
    </row>
    <row r="2" customFormat="false" ht="41.7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customFormat="false" ht="14.25" hidden="false" customHeight="false" outlineLevel="0" collapsed="false">
      <c r="A3" s="3" t="s">
        <v>19</v>
      </c>
      <c r="B3" s="4" t="n">
        <v>59</v>
      </c>
      <c r="C3" s="4" t="n">
        <v>45</v>
      </c>
      <c r="D3" s="4" t="n">
        <v>14</v>
      </c>
      <c r="E3" s="4" t="n">
        <v>11</v>
      </c>
      <c r="F3" s="4" t="n">
        <v>9</v>
      </c>
      <c r="G3" s="5" t="n">
        <v>2</v>
      </c>
      <c r="H3" s="4" t="n">
        <v>18</v>
      </c>
      <c r="I3" s="4" t="n">
        <v>10</v>
      </c>
      <c r="J3" s="5" t="n">
        <v>8</v>
      </c>
      <c r="K3" s="4" t="n">
        <v>8</v>
      </c>
      <c r="L3" s="6" t="n">
        <v>7827694.49</v>
      </c>
      <c r="M3" s="6" t="n">
        <v>2232439.78</v>
      </c>
      <c r="N3" s="6" t="n">
        <v>5595254.71</v>
      </c>
      <c r="O3" s="6" t="n">
        <v>0</v>
      </c>
      <c r="P3" s="6" t="n">
        <v>1315157.44</v>
      </c>
      <c r="Q3" s="6" t="n">
        <v>5768025506</v>
      </c>
      <c r="R3" s="5" t="n">
        <v>10</v>
      </c>
    </row>
    <row r="4" customFormat="false" ht="14.25" hidden="false" customHeight="false" outlineLevel="0" collapsed="false">
      <c r="A4" s="7" t="s">
        <v>20</v>
      </c>
      <c r="B4" s="8" t="n">
        <v>158</v>
      </c>
      <c r="C4" s="8" t="n">
        <v>148</v>
      </c>
      <c r="D4" s="8" t="n">
        <v>10</v>
      </c>
      <c r="E4" s="8" t="n">
        <v>20</v>
      </c>
      <c r="F4" s="8" t="n">
        <v>20</v>
      </c>
      <c r="G4" s="9" t="n">
        <v>0</v>
      </c>
      <c r="H4" s="8" t="n">
        <v>8</v>
      </c>
      <c r="I4" s="8" t="n">
        <v>8</v>
      </c>
      <c r="J4" s="9" t="n">
        <v>0</v>
      </c>
      <c r="K4" s="8" t="n">
        <v>5</v>
      </c>
      <c r="L4" s="10" t="n">
        <v>2703915.69</v>
      </c>
      <c r="M4" s="10" t="n">
        <v>85885.61</v>
      </c>
      <c r="N4" s="10" t="n">
        <v>568638</v>
      </c>
      <c r="O4" s="10" t="n">
        <v>2049392.08</v>
      </c>
      <c r="P4" s="10" t="n">
        <v>1737871.62</v>
      </c>
      <c r="Q4" s="10" t="n">
        <v>2196000353</v>
      </c>
      <c r="R4" s="9" t="n">
        <v>12</v>
      </c>
    </row>
    <row r="5" customFormat="false" ht="14.25" hidden="false" customHeight="false" outlineLevel="0" collapsed="false">
      <c r="A5" s="3" t="s">
        <v>21</v>
      </c>
      <c r="B5" s="4" t="n">
        <v>206</v>
      </c>
      <c r="C5" s="4" t="n">
        <v>170</v>
      </c>
      <c r="D5" s="4" t="n">
        <v>36</v>
      </c>
      <c r="E5" s="4" t="n">
        <v>83</v>
      </c>
      <c r="F5" s="4" t="n">
        <v>74</v>
      </c>
      <c r="G5" s="5" t="n">
        <v>9</v>
      </c>
      <c r="H5" s="4" t="n">
        <v>63</v>
      </c>
      <c r="I5" s="4" t="n">
        <v>56</v>
      </c>
      <c r="J5" s="5" t="n">
        <v>7</v>
      </c>
      <c r="K5" s="4" t="n">
        <v>8</v>
      </c>
      <c r="L5" s="6" t="n">
        <v>11973830.19</v>
      </c>
      <c r="M5" s="6" t="n">
        <v>835167.96</v>
      </c>
      <c r="N5" s="6" t="n">
        <v>11138662.23</v>
      </c>
      <c r="O5" s="6" t="n">
        <v>0</v>
      </c>
      <c r="P5" s="6" t="n">
        <v>3482650.06</v>
      </c>
      <c r="Q5" s="6" t="n">
        <v>12406620828</v>
      </c>
      <c r="R5" s="5" t="n">
        <v>27</v>
      </c>
    </row>
    <row r="6" customFormat="false" ht="14.25" hidden="false" customHeight="false" outlineLevel="0" collapsed="false">
      <c r="A6" s="7" t="s">
        <v>22</v>
      </c>
      <c r="B6" s="8" t="n">
        <v>214</v>
      </c>
      <c r="C6" s="8" t="n">
        <v>124</v>
      </c>
      <c r="D6" s="8" t="n">
        <v>90</v>
      </c>
      <c r="E6" s="8" t="n">
        <v>36</v>
      </c>
      <c r="F6" s="8" t="n">
        <v>12</v>
      </c>
      <c r="G6" s="9" t="n">
        <v>24</v>
      </c>
      <c r="H6" s="8" t="n">
        <v>28</v>
      </c>
      <c r="I6" s="8" t="n">
        <v>14</v>
      </c>
      <c r="J6" s="9" t="n">
        <v>14</v>
      </c>
      <c r="K6" s="8" t="n">
        <v>30</v>
      </c>
      <c r="L6" s="10" t="n">
        <v>6639874.1</v>
      </c>
      <c r="M6" s="10" t="n">
        <v>530413.52</v>
      </c>
      <c r="N6" s="10" t="n">
        <v>5400464.33</v>
      </c>
      <c r="O6" s="10" t="n">
        <v>708996.25</v>
      </c>
      <c r="P6" s="10" t="n">
        <v>2377754.21</v>
      </c>
      <c r="Q6" s="10" t="n">
        <v>6709044022</v>
      </c>
      <c r="R6" s="9" t="n">
        <v>21</v>
      </c>
    </row>
    <row r="7" customFormat="false" ht="14.25" hidden="false" customHeight="false" outlineLevel="0" collapsed="false">
      <c r="A7" s="3" t="s">
        <v>23</v>
      </c>
      <c r="B7" s="4" t="n">
        <v>1766</v>
      </c>
      <c r="C7" s="4" t="n">
        <v>1200</v>
      </c>
      <c r="D7" s="4" t="n">
        <v>566</v>
      </c>
      <c r="E7" s="4" t="n">
        <v>222</v>
      </c>
      <c r="F7" s="4" t="n">
        <v>146</v>
      </c>
      <c r="G7" s="5" t="n">
        <v>76</v>
      </c>
      <c r="H7" s="4" t="n">
        <v>186</v>
      </c>
      <c r="I7" s="4" t="n">
        <v>113</v>
      </c>
      <c r="J7" s="5" t="n">
        <v>73</v>
      </c>
      <c r="K7" s="4" t="n">
        <v>22</v>
      </c>
      <c r="L7" s="6" t="n">
        <v>15373634.78</v>
      </c>
      <c r="M7" s="6" t="n">
        <v>6176648.82</v>
      </c>
      <c r="N7" s="6" t="n">
        <v>4592861.35</v>
      </c>
      <c r="O7" s="6" t="n">
        <v>4604124.61</v>
      </c>
      <c r="P7" s="6" t="n">
        <v>44507337.13</v>
      </c>
      <c r="Q7" s="6" t="n">
        <v>88895768297</v>
      </c>
      <c r="R7" s="5" t="n">
        <v>205</v>
      </c>
    </row>
    <row r="8" customFormat="false" ht="14.25" hidden="false" customHeight="false" outlineLevel="0" collapsed="false">
      <c r="A8" s="7" t="s">
        <v>24</v>
      </c>
      <c r="B8" s="8" t="n">
        <v>333</v>
      </c>
      <c r="C8" s="8" t="n">
        <v>302</v>
      </c>
      <c r="D8" s="8" t="n">
        <v>31</v>
      </c>
      <c r="E8" s="8" t="n">
        <v>11</v>
      </c>
      <c r="F8" s="8" t="n">
        <v>8</v>
      </c>
      <c r="G8" s="9" t="n">
        <v>3</v>
      </c>
      <c r="H8" s="8" t="n">
        <v>7</v>
      </c>
      <c r="I8" s="8" t="n">
        <v>6</v>
      </c>
      <c r="J8" s="9" t="n">
        <v>1</v>
      </c>
      <c r="K8" s="8" t="n">
        <v>35</v>
      </c>
      <c r="L8" s="10" t="n">
        <v>6797290.86</v>
      </c>
      <c r="M8" s="10" t="n">
        <v>77227.79</v>
      </c>
      <c r="N8" s="10" t="n">
        <v>6410054.55</v>
      </c>
      <c r="O8" s="10" t="n">
        <v>310008.52</v>
      </c>
      <c r="P8" s="10" t="n">
        <v>2373031.08</v>
      </c>
      <c r="Q8" s="10" t="n">
        <v>9337178911</v>
      </c>
      <c r="R8" s="9" t="n">
        <v>15</v>
      </c>
    </row>
    <row r="9" customFormat="false" ht="14.25" hidden="false" customHeight="false" outlineLevel="0" collapsed="false">
      <c r="A9" s="3" t="s">
        <v>25</v>
      </c>
      <c r="B9" s="4" t="n">
        <v>85</v>
      </c>
      <c r="C9" s="4" t="n">
        <v>83</v>
      </c>
      <c r="D9" s="4" t="n">
        <v>2</v>
      </c>
      <c r="E9" s="4" t="n">
        <v>3</v>
      </c>
      <c r="F9" s="4" t="n">
        <v>3</v>
      </c>
      <c r="G9" s="5" t="n">
        <v>0</v>
      </c>
      <c r="H9" s="4" t="n">
        <v>6</v>
      </c>
      <c r="I9" s="4" t="n">
        <v>6</v>
      </c>
      <c r="J9" s="5" t="n">
        <v>0</v>
      </c>
      <c r="K9" s="4" t="n">
        <v>14</v>
      </c>
      <c r="L9" s="6" t="n">
        <v>6497861.34</v>
      </c>
      <c r="M9" s="6" t="n">
        <v>3250400.66</v>
      </c>
      <c r="N9" s="6" t="n">
        <v>539460.78</v>
      </c>
      <c r="O9" s="6" t="n">
        <v>2707999.9</v>
      </c>
      <c r="P9" s="6" t="n">
        <v>2246843.21</v>
      </c>
      <c r="Q9" s="6" t="n">
        <v>8570841507</v>
      </c>
      <c r="R9" s="5" t="n">
        <v>12</v>
      </c>
    </row>
    <row r="10" customFormat="false" ht="14.25" hidden="false" customHeight="false" outlineLevel="0" collapsed="false">
      <c r="A10" s="7" t="s">
        <v>26</v>
      </c>
      <c r="B10" s="8" t="n">
        <v>601</v>
      </c>
      <c r="C10" s="8" t="n">
        <v>577</v>
      </c>
      <c r="D10" s="8" t="n">
        <v>24</v>
      </c>
      <c r="E10" s="8" t="n">
        <v>12</v>
      </c>
      <c r="F10" s="8" t="n">
        <v>7</v>
      </c>
      <c r="G10" s="9" t="n">
        <v>5</v>
      </c>
      <c r="H10" s="8" t="n">
        <v>14</v>
      </c>
      <c r="I10" s="8" t="n">
        <v>4</v>
      </c>
      <c r="J10" s="9" t="n">
        <v>10</v>
      </c>
      <c r="K10" s="8" t="n">
        <v>12</v>
      </c>
      <c r="L10" s="10" t="n">
        <v>2373578.61</v>
      </c>
      <c r="M10" s="10" t="n">
        <v>8580.19</v>
      </c>
      <c r="N10" s="10" t="n">
        <v>2054119.5</v>
      </c>
      <c r="O10" s="10" t="n">
        <v>310878.92</v>
      </c>
      <c r="P10" s="10" t="n">
        <v>2059739.24</v>
      </c>
      <c r="Q10" s="10" t="n">
        <v>2327046971</v>
      </c>
      <c r="R10" s="9" t="n">
        <v>17</v>
      </c>
    </row>
    <row r="11" customFormat="false" ht="14.25" hidden="false" customHeight="false" outlineLevel="0" collapsed="false">
      <c r="A11" s="3" t="s">
        <v>27</v>
      </c>
      <c r="B11" s="4" t="n">
        <v>101</v>
      </c>
      <c r="C11" s="4" t="n">
        <v>95</v>
      </c>
      <c r="D11" s="4" t="n">
        <v>6</v>
      </c>
      <c r="E11" s="4" t="n">
        <v>8</v>
      </c>
      <c r="F11" s="4" t="n">
        <v>5</v>
      </c>
      <c r="G11" s="5" t="n">
        <v>3</v>
      </c>
      <c r="H11" s="4" t="n">
        <v>4</v>
      </c>
      <c r="I11" s="4" t="n">
        <v>4</v>
      </c>
      <c r="J11" s="5" t="n">
        <v>0</v>
      </c>
      <c r="K11" s="4" t="n">
        <v>11</v>
      </c>
      <c r="L11" s="6" t="n">
        <v>9731625.36</v>
      </c>
      <c r="M11" s="6" t="n">
        <v>9566823.56</v>
      </c>
      <c r="N11" s="6" t="n">
        <v>164018.44</v>
      </c>
      <c r="O11" s="6" t="n">
        <v>783.36</v>
      </c>
      <c r="P11" s="6" t="n">
        <v>2770143.32</v>
      </c>
      <c r="Q11" s="6" t="n">
        <v>2976558441</v>
      </c>
      <c r="R11" s="5" t="n">
        <v>17</v>
      </c>
    </row>
    <row r="12" customFormat="false" ht="14.25" hidden="false" customHeight="false" outlineLevel="0" collapsed="false">
      <c r="A12" s="7" t="s">
        <v>28</v>
      </c>
      <c r="B12" s="8" t="n">
        <v>667</v>
      </c>
      <c r="C12" s="8" t="n">
        <v>595</v>
      </c>
      <c r="D12" s="8" t="n">
        <v>72</v>
      </c>
      <c r="E12" s="8" t="n">
        <v>55</v>
      </c>
      <c r="F12" s="8" t="n">
        <v>43</v>
      </c>
      <c r="G12" s="9" t="n">
        <v>12</v>
      </c>
      <c r="H12" s="8" t="n">
        <v>49</v>
      </c>
      <c r="I12" s="8" t="n">
        <v>37</v>
      </c>
      <c r="J12" s="9" t="n">
        <v>12</v>
      </c>
      <c r="K12" s="8" t="n">
        <v>16</v>
      </c>
      <c r="L12" s="10" t="n">
        <v>69215336.58</v>
      </c>
      <c r="M12" s="10" t="n">
        <v>59776527.7</v>
      </c>
      <c r="N12" s="10" t="n">
        <v>3334425.55</v>
      </c>
      <c r="O12" s="10" t="n">
        <v>6104383.33</v>
      </c>
      <c r="P12" s="10" t="n">
        <v>18661080.55</v>
      </c>
      <c r="Q12" s="10" t="n">
        <v>23747162235</v>
      </c>
      <c r="R12" s="9" t="n">
        <v>151</v>
      </c>
    </row>
    <row r="13" customFormat="false" ht="14.25" hidden="false" customHeight="false" outlineLevel="0" collapsed="false">
      <c r="A13" s="3" t="s">
        <v>29</v>
      </c>
      <c r="B13" s="4" t="n">
        <v>522</v>
      </c>
      <c r="C13" s="4" t="n">
        <v>513</v>
      </c>
      <c r="D13" s="4" t="n">
        <v>9</v>
      </c>
      <c r="E13" s="4" t="n">
        <v>24</v>
      </c>
      <c r="F13" s="4" t="n">
        <v>20</v>
      </c>
      <c r="G13" s="5" t="n">
        <v>4</v>
      </c>
      <c r="H13" s="4" t="n">
        <v>14</v>
      </c>
      <c r="I13" s="4" t="n">
        <v>13</v>
      </c>
      <c r="J13" s="5" t="n">
        <v>1</v>
      </c>
      <c r="K13" s="4" t="n">
        <v>34</v>
      </c>
      <c r="L13" s="6" t="n">
        <v>27184014.74</v>
      </c>
      <c r="M13" s="6" t="n">
        <v>1363273.54</v>
      </c>
      <c r="N13" s="6" t="n">
        <v>21897076.11</v>
      </c>
      <c r="O13" s="6" t="n">
        <v>3923665.09</v>
      </c>
      <c r="P13" s="6" t="n">
        <v>4810189.63</v>
      </c>
      <c r="Q13" s="6" t="n">
        <v>11398504876</v>
      </c>
      <c r="R13" s="5" t="n">
        <v>44</v>
      </c>
    </row>
    <row r="14" customFormat="false" ht="14.25" hidden="false" customHeight="false" outlineLevel="0" collapsed="false">
      <c r="A14" s="7" t="s">
        <v>30</v>
      </c>
      <c r="B14" s="8" t="n">
        <v>472</v>
      </c>
      <c r="C14" s="8" t="n">
        <v>429</v>
      </c>
      <c r="D14" s="8" t="n">
        <v>43</v>
      </c>
      <c r="E14" s="8" t="n">
        <v>7</v>
      </c>
      <c r="F14" s="8" t="n">
        <v>7</v>
      </c>
      <c r="G14" s="9" t="n">
        <v>0</v>
      </c>
      <c r="H14" s="8" t="n">
        <v>4</v>
      </c>
      <c r="I14" s="8" t="n">
        <v>3</v>
      </c>
      <c r="J14" s="9" t="n">
        <v>1</v>
      </c>
      <c r="K14" s="8" t="n">
        <v>11</v>
      </c>
      <c r="L14" s="10" t="n">
        <v>754357.33</v>
      </c>
      <c r="M14" s="10" t="n">
        <v>37670.98</v>
      </c>
      <c r="N14" s="10" t="n">
        <v>657198.15</v>
      </c>
      <c r="O14" s="10" t="n">
        <v>59488.2</v>
      </c>
      <c r="P14" s="10" t="n">
        <v>2168237.35</v>
      </c>
      <c r="Q14" s="10" t="n">
        <v>2311151261</v>
      </c>
      <c r="R14" s="9" t="n">
        <v>16</v>
      </c>
    </row>
    <row r="15" customFormat="false" ht="14.25" hidden="false" customHeight="false" outlineLevel="0" collapsed="false">
      <c r="A15" s="3" t="s">
        <v>31</v>
      </c>
      <c r="B15" s="4" t="n">
        <v>135</v>
      </c>
      <c r="C15" s="4" t="n">
        <v>132</v>
      </c>
      <c r="D15" s="4" t="n">
        <v>3</v>
      </c>
      <c r="E15" s="4" t="n">
        <v>3</v>
      </c>
      <c r="F15" s="4" t="n">
        <v>3</v>
      </c>
      <c r="G15" s="5" t="n">
        <v>0</v>
      </c>
      <c r="H15" s="4" t="n">
        <v>2</v>
      </c>
      <c r="I15" s="4" t="n">
        <v>2</v>
      </c>
      <c r="J15" s="5" t="n">
        <v>0</v>
      </c>
      <c r="K15" s="4" t="n">
        <v>8</v>
      </c>
      <c r="L15" s="6" t="n">
        <v>370510.31</v>
      </c>
      <c r="M15" s="6" t="n">
        <v>6135.93</v>
      </c>
      <c r="N15" s="6" t="n">
        <v>364374.38</v>
      </c>
      <c r="O15" s="6" t="n">
        <v>0</v>
      </c>
      <c r="P15" s="6" t="n">
        <v>928206.19</v>
      </c>
      <c r="Q15" s="6" t="n">
        <v>2024439472</v>
      </c>
      <c r="R15" s="5" t="n">
        <v>9</v>
      </c>
    </row>
    <row r="16" customFormat="false" ht="14.25" hidden="false" customHeight="false" outlineLevel="0" collapsed="false">
      <c r="A16" s="7" t="s">
        <v>32</v>
      </c>
      <c r="B16" s="8" t="n">
        <v>388</v>
      </c>
      <c r="C16" s="8" t="n">
        <v>335</v>
      </c>
      <c r="D16" s="8" t="n">
        <v>53</v>
      </c>
      <c r="E16" s="8" t="n">
        <v>56</v>
      </c>
      <c r="F16" s="8" t="n">
        <v>47</v>
      </c>
      <c r="G16" s="9" t="n">
        <v>9</v>
      </c>
      <c r="H16" s="8" t="n">
        <v>49</v>
      </c>
      <c r="I16" s="8" t="n">
        <v>42</v>
      </c>
      <c r="J16" s="9" t="n">
        <v>7</v>
      </c>
      <c r="K16" s="8" t="n">
        <v>19</v>
      </c>
      <c r="L16" s="10" t="n">
        <v>6429593.76</v>
      </c>
      <c r="M16" s="10" t="n">
        <v>2934899.7</v>
      </c>
      <c r="N16" s="10" t="n">
        <v>2037952.64</v>
      </c>
      <c r="O16" s="10" t="n">
        <v>1456741.42</v>
      </c>
      <c r="P16" s="10" t="n">
        <v>7815423.84</v>
      </c>
      <c r="Q16" s="10" t="n">
        <v>23112241735</v>
      </c>
      <c r="R16" s="9" t="n">
        <v>42</v>
      </c>
    </row>
    <row r="17" customFormat="false" ht="14.25" hidden="false" customHeight="false" outlineLevel="0" collapsed="false">
      <c r="A17" s="3" t="s">
        <v>33</v>
      </c>
      <c r="B17" s="4" t="n">
        <v>1181</v>
      </c>
      <c r="C17" s="4" t="n">
        <v>866</v>
      </c>
      <c r="D17" s="4" t="n">
        <v>315</v>
      </c>
      <c r="E17" s="4" t="n">
        <v>41</v>
      </c>
      <c r="F17" s="4" t="n">
        <v>38</v>
      </c>
      <c r="G17" s="5" t="n">
        <v>3</v>
      </c>
      <c r="H17" s="4" t="n">
        <v>31</v>
      </c>
      <c r="I17" s="4" t="n">
        <v>28</v>
      </c>
      <c r="J17" s="5" t="n">
        <v>3</v>
      </c>
      <c r="K17" s="4" t="n">
        <v>20</v>
      </c>
      <c r="L17" s="6" t="n">
        <v>22936756.77</v>
      </c>
      <c r="M17" s="6" t="n">
        <v>12430988.08</v>
      </c>
      <c r="N17" s="6" t="n">
        <v>9837480.75</v>
      </c>
      <c r="O17" s="6" t="n">
        <v>668287.94</v>
      </c>
      <c r="P17" s="6" t="n">
        <v>6639937.69</v>
      </c>
      <c r="Q17" s="6" t="n">
        <v>11796378211</v>
      </c>
      <c r="R17" s="5" t="n">
        <v>58</v>
      </c>
    </row>
    <row r="18" customFormat="false" ht="14.25" hidden="false" customHeight="false" outlineLevel="0" collapsed="false">
      <c r="A18" s="7" t="s">
        <v>34</v>
      </c>
      <c r="B18" s="8" t="n">
        <v>372</v>
      </c>
      <c r="C18" s="8" t="n">
        <v>331</v>
      </c>
      <c r="D18" s="8" t="n">
        <v>41</v>
      </c>
      <c r="E18" s="8" t="n">
        <v>59</v>
      </c>
      <c r="F18" s="8" t="n">
        <v>26</v>
      </c>
      <c r="G18" s="9" t="n">
        <v>33</v>
      </c>
      <c r="H18" s="8" t="n">
        <v>50</v>
      </c>
      <c r="I18" s="8" t="n">
        <v>25</v>
      </c>
      <c r="J18" s="9" t="n">
        <v>25</v>
      </c>
      <c r="K18" s="8" t="n">
        <v>17</v>
      </c>
      <c r="L18" s="10" t="n">
        <v>4752976.8</v>
      </c>
      <c r="M18" s="10" t="n">
        <v>491379.28</v>
      </c>
      <c r="N18" s="10" t="n">
        <v>3782658.64</v>
      </c>
      <c r="O18" s="10" t="n">
        <v>478938.88</v>
      </c>
      <c r="P18" s="10" t="n">
        <v>1066129.74</v>
      </c>
      <c r="Q18" s="10" t="n">
        <v>4992488405</v>
      </c>
      <c r="R18" s="9" t="n">
        <v>9</v>
      </c>
    </row>
    <row r="19" customFormat="false" ht="14.25" hidden="false" customHeight="false" outlineLevel="0" collapsed="false">
      <c r="A19" s="3" t="s">
        <v>35</v>
      </c>
      <c r="B19" s="4" t="n">
        <v>240</v>
      </c>
      <c r="C19" s="4" t="n">
        <v>164</v>
      </c>
      <c r="D19" s="4" t="n">
        <v>76</v>
      </c>
      <c r="E19" s="4" t="n">
        <v>25</v>
      </c>
      <c r="F19" s="4" t="n">
        <v>10</v>
      </c>
      <c r="G19" s="5" t="n">
        <v>15</v>
      </c>
      <c r="H19" s="4" t="n">
        <v>13</v>
      </c>
      <c r="I19" s="4" t="n">
        <v>11</v>
      </c>
      <c r="J19" s="5" t="n">
        <v>2</v>
      </c>
      <c r="K19" s="4" t="n">
        <v>4</v>
      </c>
      <c r="L19" s="6" t="n">
        <v>282381.02</v>
      </c>
      <c r="M19" s="6" t="n">
        <v>156629.11</v>
      </c>
      <c r="N19" s="6" t="n">
        <v>125751.91</v>
      </c>
      <c r="O19" s="6" t="n">
        <v>0</v>
      </c>
      <c r="P19" s="6" t="n">
        <v>1634665.6</v>
      </c>
      <c r="Q19" s="6" t="n">
        <v>3603034923</v>
      </c>
      <c r="R19" s="5" t="n">
        <v>15</v>
      </c>
    </row>
    <row r="20" customFormat="false" ht="14.25" hidden="false" customHeight="false" outlineLevel="0" collapsed="false">
      <c r="A20" s="7" t="s">
        <v>36</v>
      </c>
      <c r="B20" s="8" t="n">
        <v>147</v>
      </c>
      <c r="C20" s="8" t="n">
        <v>118</v>
      </c>
      <c r="D20" s="8" t="n">
        <v>29</v>
      </c>
      <c r="E20" s="8" t="n">
        <v>21</v>
      </c>
      <c r="F20" s="8" t="n">
        <v>12</v>
      </c>
      <c r="G20" s="9" t="n">
        <v>9</v>
      </c>
      <c r="H20" s="8" t="n">
        <v>16</v>
      </c>
      <c r="I20" s="8" t="n">
        <v>13</v>
      </c>
      <c r="J20" s="9" t="n">
        <v>3</v>
      </c>
      <c r="K20" s="8" t="n">
        <v>17</v>
      </c>
      <c r="L20" s="10" t="n">
        <v>31611155.07</v>
      </c>
      <c r="M20" s="10" t="n">
        <v>13938658.18</v>
      </c>
      <c r="N20" s="10" t="n">
        <v>13937542.41</v>
      </c>
      <c r="O20" s="10" t="n">
        <v>3734954.48</v>
      </c>
      <c r="P20" s="10" t="n">
        <v>3495480.05</v>
      </c>
      <c r="Q20" s="10" t="n">
        <v>10114058416</v>
      </c>
      <c r="R20" s="9" t="n">
        <v>29</v>
      </c>
    </row>
    <row r="21" customFormat="false" ht="14.25" hidden="false" customHeight="false" outlineLevel="0" collapsed="false">
      <c r="A21" s="3" t="s">
        <v>37</v>
      </c>
      <c r="B21" s="4" t="n">
        <v>527</v>
      </c>
      <c r="C21" s="4" t="n">
        <v>446</v>
      </c>
      <c r="D21" s="4" t="n">
        <v>81</v>
      </c>
      <c r="E21" s="4" t="n">
        <v>74</v>
      </c>
      <c r="F21" s="4" t="n">
        <v>66</v>
      </c>
      <c r="G21" s="5" t="n">
        <v>8</v>
      </c>
      <c r="H21" s="4" t="n">
        <v>77</v>
      </c>
      <c r="I21" s="4" t="n">
        <v>65</v>
      </c>
      <c r="J21" s="5" t="n">
        <v>12</v>
      </c>
      <c r="K21" s="4" t="n">
        <v>18</v>
      </c>
      <c r="L21" s="6" t="n">
        <v>11019438.89</v>
      </c>
      <c r="M21" s="6" t="n">
        <v>1686841.04</v>
      </c>
      <c r="N21" s="6" t="n">
        <v>8714689.71</v>
      </c>
      <c r="O21" s="6" t="n">
        <v>617908.14</v>
      </c>
      <c r="P21" s="6" t="n">
        <v>7303057.48</v>
      </c>
      <c r="Q21" s="6" t="n">
        <v>11222709411</v>
      </c>
      <c r="R21" s="5" t="n">
        <v>67</v>
      </c>
    </row>
    <row r="22" customFormat="false" ht="14.25" hidden="false" customHeight="false" outlineLevel="0" collapsed="false">
      <c r="A22" s="7" t="s">
        <v>38</v>
      </c>
      <c r="B22" s="8" t="n">
        <v>99</v>
      </c>
      <c r="C22" s="8" t="n">
        <v>83</v>
      </c>
      <c r="D22" s="8" t="n">
        <v>16</v>
      </c>
      <c r="E22" s="8" t="n">
        <v>12</v>
      </c>
      <c r="F22" s="8" t="n">
        <v>8</v>
      </c>
      <c r="G22" s="9" t="n">
        <v>4</v>
      </c>
      <c r="H22" s="8" t="n">
        <v>17</v>
      </c>
      <c r="I22" s="8" t="n">
        <v>8</v>
      </c>
      <c r="J22" s="9" t="n">
        <v>9</v>
      </c>
      <c r="K22" s="8" t="n">
        <v>7</v>
      </c>
      <c r="L22" s="10" t="n">
        <v>1647681.86</v>
      </c>
      <c r="M22" s="10" t="n">
        <v>37036.42</v>
      </c>
      <c r="N22" s="10" t="n">
        <v>79868.7</v>
      </c>
      <c r="O22" s="10" t="n">
        <v>1530776.74</v>
      </c>
      <c r="P22" s="10" t="n">
        <v>1076956.27</v>
      </c>
      <c r="Q22" s="10" t="n">
        <v>2841007872</v>
      </c>
      <c r="R22" s="9" t="n">
        <v>9</v>
      </c>
    </row>
    <row r="23" customFormat="false" ht="14.25" hidden="false" customHeight="false" outlineLevel="0" collapsed="false">
      <c r="A23" s="3" t="s">
        <v>39</v>
      </c>
      <c r="B23" s="4" t="n">
        <v>396</v>
      </c>
      <c r="C23" s="4" t="n">
        <v>364</v>
      </c>
      <c r="D23" s="4" t="n">
        <v>32</v>
      </c>
      <c r="E23" s="4" t="n">
        <v>13</v>
      </c>
      <c r="F23" s="4" t="n">
        <v>10</v>
      </c>
      <c r="G23" s="5" t="n">
        <v>3</v>
      </c>
      <c r="H23" s="4" t="n">
        <v>17</v>
      </c>
      <c r="I23" s="4" t="n">
        <v>16</v>
      </c>
      <c r="J23" s="5" t="n">
        <v>1</v>
      </c>
      <c r="K23" s="4" t="n">
        <v>32</v>
      </c>
      <c r="L23" s="6" t="n">
        <v>15508772.66</v>
      </c>
      <c r="M23" s="6" t="n">
        <v>407086.52</v>
      </c>
      <c r="N23" s="6" t="n">
        <v>11797353.14</v>
      </c>
      <c r="O23" s="6" t="n">
        <v>3304333</v>
      </c>
      <c r="P23" s="6" t="n">
        <v>4344751.29</v>
      </c>
      <c r="Q23" s="6" t="n">
        <v>11867520808</v>
      </c>
      <c r="R23" s="5" t="n">
        <v>34</v>
      </c>
    </row>
    <row r="24" customFormat="false" ht="14.25" hidden="false" customHeight="false" outlineLevel="0" collapsed="false">
      <c r="A24" s="7" t="s">
        <v>40</v>
      </c>
      <c r="B24" s="8" t="n">
        <v>571</v>
      </c>
      <c r="C24" s="8" t="n">
        <v>516</v>
      </c>
      <c r="D24" s="8" t="n">
        <v>55</v>
      </c>
      <c r="E24" s="8" t="n">
        <v>14</v>
      </c>
      <c r="F24" s="8" t="n">
        <v>14</v>
      </c>
      <c r="G24" s="9" t="n">
        <v>0</v>
      </c>
      <c r="H24" s="8" t="n">
        <v>5</v>
      </c>
      <c r="I24" s="8" t="n">
        <v>5</v>
      </c>
      <c r="J24" s="9" t="n">
        <v>0</v>
      </c>
      <c r="K24" s="8" t="n">
        <v>20</v>
      </c>
      <c r="L24" s="10" t="n">
        <v>44691804.78</v>
      </c>
      <c r="M24" s="10" t="n">
        <v>86449.48</v>
      </c>
      <c r="N24" s="10" t="n">
        <v>22761649.97</v>
      </c>
      <c r="O24" s="10" t="n">
        <v>21843705.33</v>
      </c>
      <c r="P24" s="10" t="n">
        <v>5810593</v>
      </c>
      <c r="Q24" s="10" t="n">
        <v>18699858030</v>
      </c>
      <c r="R24" s="9" t="n">
        <v>42</v>
      </c>
    </row>
    <row r="25" customFormat="false" ht="14.25" hidden="false" customHeight="false" outlineLevel="0" collapsed="false">
      <c r="A25" s="3" t="s">
        <v>41</v>
      </c>
      <c r="B25" s="4" t="n">
        <v>439</v>
      </c>
      <c r="C25" s="4" t="n">
        <v>389</v>
      </c>
      <c r="D25" s="4" t="n">
        <v>50</v>
      </c>
      <c r="E25" s="4" t="n">
        <v>13</v>
      </c>
      <c r="F25" s="4" t="n">
        <v>6</v>
      </c>
      <c r="G25" s="5" t="n">
        <v>7</v>
      </c>
      <c r="H25" s="4" t="n">
        <v>15</v>
      </c>
      <c r="I25" s="4" t="n">
        <v>11</v>
      </c>
      <c r="J25" s="5" t="n">
        <v>4</v>
      </c>
      <c r="K25" s="4" t="n">
        <v>16</v>
      </c>
      <c r="L25" s="6" t="n">
        <v>24596798.97</v>
      </c>
      <c r="M25" s="6" t="n">
        <v>3008069.79</v>
      </c>
      <c r="N25" s="6" t="n">
        <v>20594284.61</v>
      </c>
      <c r="O25" s="6" t="n">
        <v>994444.57</v>
      </c>
      <c r="P25" s="6" t="n">
        <v>5114490.51</v>
      </c>
      <c r="Q25" s="6" t="n">
        <v>17085638296</v>
      </c>
      <c r="R25" s="5" t="n">
        <v>30</v>
      </c>
    </row>
    <row r="26" customFormat="false" ht="14.25" hidden="false" customHeight="false" outlineLevel="0" collapsed="false">
      <c r="A26" s="7" t="s">
        <v>42</v>
      </c>
      <c r="B26" s="8" t="n">
        <v>270</v>
      </c>
      <c r="C26" s="8" t="n">
        <v>265</v>
      </c>
      <c r="D26" s="8" t="n">
        <v>5</v>
      </c>
      <c r="E26" s="8" t="n">
        <v>64</v>
      </c>
      <c r="F26" s="8" t="n">
        <v>62</v>
      </c>
      <c r="G26" s="9" t="n">
        <v>2</v>
      </c>
      <c r="H26" s="8" t="n">
        <v>54</v>
      </c>
      <c r="I26" s="8" t="n">
        <v>51</v>
      </c>
      <c r="J26" s="9" t="n">
        <v>3</v>
      </c>
      <c r="K26" s="8" t="n">
        <v>12</v>
      </c>
      <c r="L26" s="10" t="n">
        <v>8428634</v>
      </c>
      <c r="M26" s="10" t="n">
        <v>4549578.87</v>
      </c>
      <c r="N26" s="10" t="n">
        <v>2129055.13</v>
      </c>
      <c r="O26" s="10" t="n">
        <v>1750000</v>
      </c>
      <c r="P26" s="10" t="n">
        <v>2863917.13</v>
      </c>
      <c r="Q26" s="10" t="n">
        <v>13130373020</v>
      </c>
      <c r="R26" s="9" t="n">
        <v>26</v>
      </c>
    </row>
    <row r="27" customFormat="false" ht="14.25" hidden="false" customHeight="false" outlineLevel="0" collapsed="false">
      <c r="A27" s="3" t="s">
        <v>43</v>
      </c>
      <c r="B27" s="4" t="n">
        <v>666</v>
      </c>
      <c r="C27" s="4" t="n">
        <v>111</v>
      </c>
      <c r="D27" s="4" t="n">
        <v>555</v>
      </c>
      <c r="E27" s="4" t="n">
        <v>59</v>
      </c>
      <c r="F27" s="4" t="n">
        <v>6</v>
      </c>
      <c r="G27" s="5" t="n">
        <v>53</v>
      </c>
      <c r="H27" s="4" t="n">
        <v>60</v>
      </c>
      <c r="I27" s="4" t="n">
        <v>6</v>
      </c>
      <c r="J27" s="5" t="n">
        <v>54</v>
      </c>
      <c r="K27" s="4" t="n">
        <v>14</v>
      </c>
      <c r="L27" s="6" t="n">
        <v>12104380.88</v>
      </c>
      <c r="M27" s="6" t="n">
        <v>1511171.32</v>
      </c>
      <c r="N27" s="6" t="n">
        <v>5377168.36</v>
      </c>
      <c r="O27" s="6" t="n">
        <v>5216041.2</v>
      </c>
      <c r="P27" s="6" t="n">
        <v>3526284</v>
      </c>
      <c r="Q27" s="6" t="n">
        <v>5443612233</v>
      </c>
      <c r="R27" s="5" t="n">
        <v>34</v>
      </c>
    </row>
    <row r="28" customFormat="false" ht="14.25" hidden="false" customHeight="false" outlineLevel="0" collapsed="false">
      <c r="A28" s="7" t="s">
        <v>44</v>
      </c>
      <c r="B28" s="8" t="n">
        <v>174</v>
      </c>
      <c r="C28" s="8" t="n">
        <v>154</v>
      </c>
      <c r="D28" s="8" t="n">
        <v>20</v>
      </c>
      <c r="E28" s="8" t="n">
        <v>16</v>
      </c>
      <c r="F28" s="8" t="n">
        <v>13</v>
      </c>
      <c r="G28" s="9" t="n">
        <v>3</v>
      </c>
      <c r="H28" s="8" t="n">
        <v>13</v>
      </c>
      <c r="I28" s="8" t="n">
        <v>12</v>
      </c>
      <c r="J28" s="9" t="n">
        <v>1</v>
      </c>
      <c r="K28" s="8" t="n">
        <v>10</v>
      </c>
      <c r="L28" s="10" t="n">
        <v>2965595.25</v>
      </c>
      <c r="M28" s="10" t="n">
        <v>1030155.16</v>
      </c>
      <c r="N28" s="10" t="n">
        <v>1546388.51</v>
      </c>
      <c r="O28" s="10" t="n">
        <v>389051.58</v>
      </c>
      <c r="P28" s="10" t="n">
        <v>2305744.16</v>
      </c>
      <c r="Q28" s="10" t="n">
        <v>10709689095</v>
      </c>
      <c r="R28" s="9" t="n">
        <v>22</v>
      </c>
    </row>
    <row r="29" customFormat="false" ht="14.25" hidden="false" customHeight="false" outlineLevel="0" collapsed="false">
      <c r="A29" s="3" t="s">
        <v>45</v>
      </c>
      <c r="B29" s="4" t="n">
        <v>81</v>
      </c>
      <c r="C29" s="4" t="n">
        <v>73</v>
      </c>
      <c r="D29" s="4" t="n">
        <v>8</v>
      </c>
      <c r="E29" s="4" t="n">
        <v>3</v>
      </c>
      <c r="F29" s="4" t="n">
        <v>3</v>
      </c>
      <c r="G29" s="5" t="n">
        <v>0</v>
      </c>
      <c r="H29" s="4" t="n">
        <v>7</v>
      </c>
      <c r="I29" s="4" t="n">
        <v>5</v>
      </c>
      <c r="J29" s="5" t="n">
        <v>2</v>
      </c>
      <c r="K29" s="4" t="n">
        <v>8</v>
      </c>
      <c r="L29" s="6" t="n">
        <v>1252900.04</v>
      </c>
      <c r="M29" s="6" t="n">
        <v>50983.76</v>
      </c>
      <c r="N29" s="6" t="n">
        <v>1201916.28</v>
      </c>
      <c r="O29" s="6" t="n">
        <v>0</v>
      </c>
      <c r="P29" s="6" t="n">
        <v>825481.33</v>
      </c>
      <c r="Q29" s="6" t="n">
        <v>1920831782</v>
      </c>
      <c r="R29" s="5" t="n">
        <v>8</v>
      </c>
    </row>
    <row r="30" customFormat="false" ht="14.25" hidden="false" customHeight="false" outlineLevel="0" collapsed="false">
      <c r="A30" s="7" t="s">
        <v>46</v>
      </c>
      <c r="B30" s="8" t="n">
        <v>121</v>
      </c>
      <c r="C30" s="8" t="n">
        <v>93</v>
      </c>
      <c r="D30" s="8" t="n">
        <v>28</v>
      </c>
      <c r="E30" s="8" t="n">
        <v>5</v>
      </c>
      <c r="F30" s="8" t="n">
        <v>5</v>
      </c>
      <c r="G30" s="9" t="n">
        <v>0</v>
      </c>
      <c r="H30" s="8" t="n">
        <v>5</v>
      </c>
      <c r="I30" s="8" t="n">
        <v>5</v>
      </c>
      <c r="J30" s="9" t="n">
        <v>0</v>
      </c>
      <c r="K30" s="8" t="n">
        <v>13</v>
      </c>
      <c r="L30" s="10" t="n">
        <v>2803669.33</v>
      </c>
      <c r="M30" s="10" t="n">
        <v>130008.94</v>
      </c>
      <c r="N30" s="10" t="n">
        <v>1890508.25</v>
      </c>
      <c r="O30" s="10" t="n">
        <v>783152.14</v>
      </c>
      <c r="P30" s="10" t="n">
        <v>1046918.22</v>
      </c>
      <c r="Q30" s="10" t="n">
        <v>2234101910</v>
      </c>
      <c r="R30" s="9" t="n">
        <v>10</v>
      </c>
    </row>
    <row r="31" customFormat="false" ht="14.25" hidden="false" customHeight="false" outlineLevel="0" collapsed="false">
      <c r="A31" s="3" t="s">
        <v>47</v>
      </c>
      <c r="B31" s="4" t="n">
        <v>425</v>
      </c>
      <c r="C31" s="4" t="n">
        <v>422</v>
      </c>
      <c r="D31" s="4" t="n">
        <v>3</v>
      </c>
      <c r="E31" s="4" t="n">
        <v>15</v>
      </c>
      <c r="F31" s="4" t="n">
        <v>15</v>
      </c>
      <c r="G31" s="5" t="n">
        <v>0</v>
      </c>
      <c r="H31" s="4" t="n">
        <v>11</v>
      </c>
      <c r="I31" s="4" t="n">
        <v>9</v>
      </c>
      <c r="J31" s="5" t="n">
        <v>2</v>
      </c>
      <c r="K31" s="4" t="n">
        <v>19</v>
      </c>
      <c r="L31" s="6" t="n">
        <v>5485042.47</v>
      </c>
      <c r="M31" s="6" t="n">
        <v>1353710.5</v>
      </c>
      <c r="N31" s="6" t="n">
        <v>3931029.86</v>
      </c>
      <c r="O31" s="6" t="n">
        <v>200302.11</v>
      </c>
      <c r="P31" s="6" t="n">
        <v>2003056.21</v>
      </c>
      <c r="Q31" s="6" t="n">
        <v>4127315581</v>
      </c>
      <c r="R31" s="5" t="n">
        <v>16</v>
      </c>
    </row>
    <row r="32" customFormat="false" ht="14.25" hidden="false" customHeight="false" outlineLevel="0" collapsed="false">
      <c r="A32" s="7" t="s">
        <v>48</v>
      </c>
      <c r="B32" s="8" t="n">
        <v>79</v>
      </c>
      <c r="C32" s="8" t="n">
        <v>46</v>
      </c>
      <c r="D32" s="8" t="n">
        <v>33</v>
      </c>
      <c r="E32" s="8" t="n">
        <v>1</v>
      </c>
      <c r="F32" s="8" t="n">
        <v>1</v>
      </c>
      <c r="G32" s="9" t="n">
        <v>0</v>
      </c>
      <c r="H32" s="8" t="n">
        <v>2</v>
      </c>
      <c r="I32" s="8" t="n">
        <v>0</v>
      </c>
      <c r="J32" s="9" t="n">
        <v>2</v>
      </c>
      <c r="K32" s="8" t="n">
        <v>2</v>
      </c>
      <c r="L32" s="10" t="n">
        <v>1017724.86</v>
      </c>
      <c r="M32" s="10" t="n">
        <v>0</v>
      </c>
      <c r="N32" s="10" t="n">
        <v>1016565.66</v>
      </c>
      <c r="O32" s="10" t="n">
        <v>1159.2</v>
      </c>
      <c r="P32" s="10" t="n">
        <v>775114.55</v>
      </c>
      <c r="Q32" s="10" t="n">
        <v>2273337486</v>
      </c>
      <c r="R32" s="9" t="n">
        <v>8</v>
      </c>
    </row>
    <row r="33" customFormat="false" ht="14.25" hidden="false" customHeight="false" outlineLevel="0" collapsed="false">
      <c r="A33" s="3" t="s">
        <v>49</v>
      </c>
      <c r="B33" s="4" t="n">
        <v>468</v>
      </c>
      <c r="C33" s="4" t="n">
        <v>417</v>
      </c>
      <c r="D33" s="4" t="n">
        <v>51</v>
      </c>
      <c r="E33" s="4" t="n">
        <v>22</v>
      </c>
      <c r="F33" s="4" t="n">
        <v>6</v>
      </c>
      <c r="G33" s="5" t="n">
        <v>16</v>
      </c>
      <c r="H33" s="4" t="n">
        <v>21</v>
      </c>
      <c r="I33" s="4" t="n">
        <v>9</v>
      </c>
      <c r="J33" s="5" t="n">
        <v>12</v>
      </c>
      <c r="K33" s="4" t="n">
        <v>17</v>
      </c>
      <c r="L33" s="6" t="n">
        <v>24011340.94</v>
      </c>
      <c r="M33" s="6" t="n">
        <v>7793582.99</v>
      </c>
      <c r="N33" s="6" t="n">
        <v>15590574.61</v>
      </c>
      <c r="O33" s="6" t="n">
        <v>627183.34</v>
      </c>
      <c r="P33" s="6" t="n">
        <v>3722721.43</v>
      </c>
      <c r="Q33" s="6" t="n">
        <v>15706565267</v>
      </c>
      <c r="R33" s="5" t="n">
        <v>26</v>
      </c>
    </row>
    <row r="34" customFormat="false" ht="14.25" hidden="false" customHeight="false" outlineLevel="0" collapsed="false">
      <c r="A34" s="7" t="s">
        <v>50</v>
      </c>
      <c r="B34" s="8" t="n">
        <v>176</v>
      </c>
      <c r="C34" s="8" t="n">
        <v>158</v>
      </c>
      <c r="D34" s="8" t="n">
        <v>18</v>
      </c>
      <c r="E34" s="8" t="n">
        <v>6</v>
      </c>
      <c r="F34" s="8" t="n">
        <v>3</v>
      </c>
      <c r="G34" s="9" t="n">
        <v>3</v>
      </c>
      <c r="H34" s="8" t="n">
        <v>3</v>
      </c>
      <c r="I34" s="8" t="n">
        <v>3</v>
      </c>
      <c r="J34" s="9" t="n">
        <v>0</v>
      </c>
      <c r="K34" s="8" t="n">
        <v>12</v>
      </c>
      <c r="L34" s="10" t="n">
        <v>3941930.24</v>
      </c>
      <c r="M34" s="10" t="n">
        <v>10452.32</v>
      </c>
      <c r="N34" s="10" t="n">
        <v>3533102.1</v>
      </c>
      <c r="O34" s="10" t="n">
        <v>398375.82</v>
      </c>
      <c r="P34" s="10" t="n">
        <v>2513182.99</v>
      </c>
      <c r="Q34" s="10" t="n">
        <v>5332964484</v>
      </c>
      <c r="R34" s="9" t="n">
        <v>21</v>
      </c>
    </row>
    <row r="35" customFormat="false" ht="14.25" hidden="false" customHeight="false" outlineLevel="0" collapsed="false">
      <c r="A35" s="3" t="s">
        <v>51</v>
      </c>
      <c r="B35" s="4" t="n">
        <v>762</v>
      </c>
      <c r="C35" s="4" t="n">
        <v>619</v>
      </c>
      <c r="D35" s="4" t="n">
        <v>143</v>
      </c>
      <c r="E35" s="4" t="n">
        <v>87</v>
      </c>
      <c r="F35" s="4" t="n">
        <v>54</v>
      </c>
      <c r="G35" s="5" t="n">
        <v>33</v>
      </c>
      <c r="H35" s="4" t="n">
        <v>97</v>
      </c>
      <c r="I35" s="4" t="n">
        <v>67</v>
      </c>
      <c r="J35" s="5" t="n">
        <v>30</v>
      </c>
      <c r="K35" s="4" t="n">
        <v>91</v>
      </c>
      <c r="L35" s="6" t="n">
        <v>61709155.97</v>
      </c>
      <c r="M35" s="6" t="n">
        <v>725944.29</v>
      </c>
      <c r="N35" s="6" t="n">
        <v>3423561.44</v>
      </c>
      <c r="O35" s="6" t="n">
        <v>57559650.24</v>
      </c>
      <c r="P35" s="6" t="n">
        <v>54691330.84</v>
      </c>
      <c r="Q35" s="6" t="n">
        <v>75262657182</v>
      </c>
      <c r="R35" s="5" t="n">
        <v>304</v>
      </c>
    </row>
    <row r="36" customFormat="false" ht="14.25" hidden="false" customHeight="false" outlineLevel="0" collapsed="false">
      <c r="A36" s="7" t="s">
        <v>52</v>
      </c>
      <c r="B36" s="8" t="n">
        <v>359</v>
      </c>
      <c r="C36" s="8" t="n">
        <v>354</v>
      </c>
      <c r="D36" s="8" t="n">
        <v>5</v>
      </c>
      <c r="E36" s="8" t="n">
        <v>16</v>
      </c>
      <c r="F36" s="8" t="n">
        <v>15</v>
      </c>
      <c r="G36" s="9" t="n">
        <v>1</v>
      </c>
      <c r="H36" s="8" t="n">
        <v>21</v>
      </c>
      <c r="I36" s="8" t="n">
        <v>20</v>
      </c>
      <c r="J36" s="9" t="n">
        <v>1</v>
      </c>
      <c r="K36" s="8" t="n">
        <v>17</v>
      </c>
      <c r="L36" s="10" t="n">
        <v>38494795.76</v>
      </c>
      <c r="M36" s="10" t="n">
        <v>13827949.57</v>
      </c>
      <c r="N36" s="10" t="n">
        <v>23491849.03</v>
      </c>
      <c r="O36" s="10" t="n">
        <v>1174997.16</v>
      </c>
      <c r="P36" s="10" t="n">
        <v>5588968.81</v>
      </c>
      <c r="Q36" s="10" t="n">
        <v>14060675775</v>
      </c>
      <c r="R36" s="9" t="n">
        <v>41</v>
      </c>
    </row>
    <row r="37" customFormat="false" ht="14.25" hidden="false" customHeight="false" outlineLevel="0" collapsed="false">
      <c r="A37" s="3" t="s">
        <v>53</v>
      </c>
      <c r="B37" s="4" t="n">
        <v>1284</v>
      </c>
      <c r="C37" s="4" t="n">
        <v>867</v>
      </c>
      <c r="D37" s="4" t="n">
        <v>417</v>
      </c>
      <c r="E37" s="4" t="n">
        <v>166</v>
      </c>
      <c r="F37" s="4" t="n">
        <v>107</v>
      </c>
      <c r="G37" s="5" t="n">
        <v>59</v>
      </c>
      <c r="H37" s="4" t="n">
        <v>148</v>
      </c>
      <c r="I37" s="4" t="n">
        <v>99</v>
      </c>
      <c r="J37" s="5" t="n">
        <v>49</v>
      </c>
      <c r="K37" s="4" t="n">
        <v>21</v>
      </c>
      <c r="L37" s="6" t="n">
        <v>32404737.51</v>
      </c>
      <c r="M37" s="6" t="n">
        <v>10328937.64</v>
      </c>
      <c r="N37" s="6" t="n">
        <v>21911150.83</v>
      </c>
      <c r="O37" s="6" t="n">
        <v>164649.04</v>
      </c>
      <c r="P37" s="6" t="n">
        <v>12274547.42</v>
      </c>
      <c r="Q37" s="6" t="n">
        <v>22694958437</v>
      </c>
      <c r="R37" s="5" t="n">
        <v>97</v>
      </c>
    </row>
    <row r="38" customFormat="false" ht="14.25" hidden="false" customHeight="false" outlineLevel="0" collapsed="false">
      <c r="A38" s="7" t="s">
        <v>54</v>
      </c>
      <c r="B38" s="8" t="n">
        <v>261</v>
      </c>
      <c r="C38" s="8" t="n">
        <v>190</v>
      </c>
      <c r="D38" s="8" t="n">
        <v>71</v>
      </c>
      <c r="E38" s="8" t="n">
        <v>39</v>
      </c>
      <c r="F38" s="8" t="n">
        <v>23</v>
      </c>
      <c r="G38" s="9" t="n">
        <v>16</v>
      </c>
      <c r="H38" s="8" t="n">
        <v>24</v>
      </c>
      <c r="I38" s="8" t="n">
        <v>12</v>
      </c>
      <c r="J38" s="9" t="n">
        <v>12</v>
      </c>
      <c r="K38" s="8" t="n">
        <v>17</v>
      </c>
      <c r="L38" s="10" t="n">
        <v>8727496.88</v>
      </c>
      <c r="M38" s="10" t="n">
        <v>1422831.12</v>
      </c>
      <c r="N38" s="10" t="n">
        <v>6293203.27</v>
      </c>
      <c r="O38" s="10" t="n">
        <v>1011462.49</v>
      </c>
      <c r="P38" s="10" t="n">
        <v>2465829</v>
      </c>
      <c r="Q38" s="10" t="n">
        <v>4659329936</v>
      </c>
      <c r="R38" s="9" t="n">
        <v>26</v>
      </c>
    </row>
    <row r="39" customFormat="false" ht="14.25" hidden="false" customHeight="false" outlineLevel="0" collapsed="false">
      <c r="A39" s="3" t="s">
        <v>55</v>
      </c>
      <c r="B39" s="4" t="n">
        <v>72</v>
      </c>
      <c r="C39" s="4" t="n">
        <v>69</v>
      </c>
      <c r="D39" s="4" t="n">
        <v>3</v>
      </c>
      <c r="E39" s="4" t="n">
        <v>50</v>
      </c>
      <c r="F39" s="4" t="n">
        <v>47</v>
      </c>
      <c r="G39" s="5" t="n">
        <v>3</v>
      </c>
      <c r="H39" s="4" t="n">
        <v>49</v>
      </c>
      <c r="I39" s="4" t="n">
        <v>47</v>
      </c>
      <c r="J39" s="5" t="n">
        <v>2</v>
      </c>
      <c r="K39" s="4" t="n">
        <v>8</v>
      </c>
      <c r="L39" s="6" t="n">
        <v>891325.78</v>
      </c>
      <c r="M39" s="6" t="n">
        <v>598671.56</v>
      </c>
      <c r="N39" s="6" t="n">
        <v>210421.43</v>
      </c>
      <c r="O39" s="6" t="n">
        <v>82232.79</v>
      </c>
      <c r="P39" s="6" t="n">
        <v>2934088.93</v>
      </c>
      <c r="Q39" s="6" t="n">
        <v>9382904731</v>
      </c>
      <c r="R39" s="5" t="n">
        <v>17</v>
      </c>
    </row>
    <row r="40" customFormat="false" ht="14.25" hidden="false" customHeight="false" outlineLevel="0" collapsed="false">
      <c r="A40" s="7" t="s">
        <v>56</v>
      </c>
      <c r="B40" s="8" t="n">
        <v>503</v>
      </c>
      <c r="C40" s="8" t="n">
        <v>470</v>
      </c>
      <c r="D40" s="8" t="n">
        <v>33</v>
      </c>
      <c r="E40" s="8" t="n">
        <v>164</v>
      </c>
      <c r="F40" s="8" t="n">
        <v>156</v>
      </c>
      <c r="G40" s="9" t="n">
        <v>8</v>
      </c>
      <c r="H40" s="8" t="n">
        <v>105</v>
      </c>
      <c r="I40" s="8" t="n">
        <v>103</v>
      </c>
      <c r="J40" s="9" t="n">
        <v>2</v>
      </c>
      <c r="K40" s="8" t="n">
        <v>10</v>
      </c>
      <c r="L40" s="10" t="n">
        <v>22306796.6</v>
      </c>
      <c r="M40" s="10" t="n">
        <v>3260707.12</v>
      </c>
      <c r="N40" s="10" t="n">
        <v>19046089.48</v>
      </c>
      <c r="O40" s="10" t="n">
        <v>0</v>
      </c>
      <c r="P40" s="10" t="n">
        <v>9107567.31</v>
      </c>
      <c r="Q40" s="10" t="n">
        <v>30758314287</v>
      </c>
      <c r="R40" s="9" t="n">
        <v>58</v>
      </c>
    </row>
    <row r="41" customFormat="false" ht="14.25" hidden="false" customHeight="false" outlineLevel="0" collapsed="false">
      <c r="A41" s="3" t="s">
        <v>57</v>
      </c>
      <c r="B41" s="4" t="n">
        <v>100</v>
      </c>
      <c r="C41" s="4" t="n">
        <v>81</v>
      </c>
      <c r="D41" s="4" t="n">
        <v>19</v>
      </c>
      <c r="E41" s="4" t="n">
        <v>8</v>
      </c>
      <c r="F41" s="4" t="n">
        <v>7</v>
      </c>
      <c r="G41" s="5" t="n">
        <v>1</v>
      </c>
      <c r="H41" s="4" t="n">
        <v>3</v>
      </c>
      <c r="I41" s="4" t="n">
        <v>3</v>
      </c>
      <c r="J41" s="5" t="n">
        <v>0</v>
      </c>
      <c r="K41" s="4" t="n">
        <v>10</v>
      </c>
      <c r="L41" s="6" t="n">
        <v>3408544.88</v>
      </c>
      <c r="M41" s="6" t="n">
        <v>307842.25</v>
      </c>
      <c r="N41" s="6" t="n">
        <v>3052540.82</v>
      </c>
      <c r="O41" s="6" t="n">
        <v>48161.81</v>
      </c>
      <c r="P41" s="6" t="n">
        <v>1373714.09</v>
      </c>
      <c r="Q41" s="6" t="n">
        <v>2783542978</v>
      </c>
      <c r="R41" s="5" t="n">
        <v>11</v>
      </c>
    </row>
    <row r="42" customFormat="false" ht="14.25" hidden="false" customHeight="false" outlineLevel="0" collapsed="false">
      <c r="A42" s="7" t="s">
        <v>58</v>
      </c>
      <c r="B42" s="8" t="n">
        <v>195</v>
      </c>
      <c r="C42" s="8" t="n">
        <v>124</v>
      </c>
      <c r="D42" s="8" t="n">
        <v>71</v>
      </c>
      <c r="E42" s="8" t="n">
        <v>17</v>
      </c>
      <c r="F42" s="8" t="n">
        <v>11</v>
      </c>
      <c r="G42" s="9" t="n">
        <v>6</v>
      </c>
      <c r="H42" s="8" t="n">
        <v>15</v>
      </c>
      <c r="I42" s="8" t="n">
        <v>10</v>
      </c>
      <c r="J42" s="9" t="n">
        <v>5</v>
      </c>
      <c r="K42" s="8" t="n">
        <v>18</v>
      </c>
      <c r="L42" s="10" t="n">
        <v>16455698.04</v>
      </c>
      <c r="M42" s="10" t="n">
        <v>4646672.86</v>
      </c>
      <c r="N42" s="10" t="n">
        <v>2220957.51</v>
      </c>
      <c r="O42" s="10" t="n">
        <v>9588067.67</v>
      </c>
      <c r="P42" s="10" t="n">
        <v>1362868.85</v>
      </c>
      <c r="Q42" s="10" t="n">
        <v>6357022896</v>
      </c>
      <c r="R42" s="9" t="n">
        <v>16</v>
      </c>
    </row>
    <row r="43" customFormat="false" ht="14.25" hidden="false" customHeight="false" outlineLevel="0" collapsed="false">
      <c r="A43" s="3" t="s">
        <v>59</v>
      </c>
      <c r="B43" s="4" t="n">
        <v>43</v>
      </c>
      <c r="C43" s="4" t="n">
        <v>43</v>
      </c>
      <c r="D43" s="4" t="n">
        <v>0</v>
      </c>
      <c r="E43" s="4" t="n">
        <v>4</v>
      </c>
      <c r="F43" s="4" t="n">
        <v>2</v>
      </c>
      <c r="G43" s="5" t="n">
        <v>2</v>
      </c>
      <c r="H43" s="4" t="n">
        <v>4</v>
      </c>
      <c r="I43" s="4" t="n">
        <v>2</v>
      </c>
      <c r="J43" s="5" t="n">
        <v>2</v>
      </c>
      <c r="K43" s="4" t="n">
        <v>7</v>
      </c>
      <c r="L43" s="6" t="n">
        <v>1125284.65</v>
      </c>
      <c r="M43" s="6" t="n">
        <v>131804</v>
      </c>
      <c r="N43" s="6" t="n">
        <v>639476.05</v>
      </c>
      <c r="O43" s="6" t="n">
        <v>354004.6</v>
      </c>
      <c r="P43" s="6" t="n">
        <v>420013.67</v>
      </c>
      <c r="Q43" s="6" t="n">
        <v>913990729</v>
      </c>
      <c r="R43" s="5" t="n">
        <v>5</v>
      </c>
    </row>
    <row r="44" customFormat="false" ht="14.25" hidden="false" customHeight="false" outlineLevel="0" collapsed="false">
      <c r="A44" s="7" t="s">
        <v>60</v>
      </c>
      <c r="B44" s="8" t="n">
        <v>221</v>
      </c>
      <c r="C44" s="8" t="n">
        <v>199</v>
      </c>
      <c r="D44" s="8" t="n">
        <v>22</v>
      </c>
      <c r="E44" s="8" t="n">
        <v>22</v>
      </c>
      <c r="F44" s="8" t="n">
        <v>15</v>
      </c>
      <c r="G44" s="9" t="n">
        <v>7</v>
      </c>
      <c r="H44" s="8" t="n">
        <v>30</v>
      </c>
      <c r="I44" s="8" t="n">
        <v>26</v>
      </c>
      <c r="J44" s="9" t="n">
        <v>4</v>
      </c>
      <c r="K44" s="8" t="n">
        <v>20</v>
      </c>
      <c r="L44" s="10" t="n">
        <v>50942916.91</v>
      </c>
      <c r="M44" s="10" t="n">
        <v>5709325.27</v>
      </c>
      <c r="N44" s="10" t="n">
        <v>12830079.02</v>
      </c>
      <c r="O44" s="10" t="n">
        <v>32403512.62</v>
      </c>
      <c r="P44" s="10" t="n">
        <v>4968913.62</v>
      </c>
      <c r="Q44" s="10" t="n">
        <v>10301164426</v>
      </c>
      <c r="R44" s="9" t="n">
        <v>38</v>
      </c>
    </row>
    <row r="45" customFormat="false" ht="14.25" hidden="false" customHeight="false" outlineLevel="0" collapsed="false">
      <c r="A45" s="3" t="s">
        <v>61</v>
      </c>
      <c r="B45" s="4" t="n">
        <v>1319</v>
      </c>
      <c r="C45" s="4" t="n">
        <v>1199</v>
      </c>
      <c r="D45" s="4" t="n">
        <v>120</v>
      </c>
      <c r="E45" s="4" t="n">
        <v>89</v>
      </c>
      <c r="F45" s="4" t="n">
        <v>73</v>
      </c>
      <c r="G45" s="5" t="n">
        <v>16</v>
      </c>
      <c r="H45" s="4" t="n">
        <v>69</v>
      </c>
      <c r="I45" s="4" t="n">
        <v>64</v>
      </c>
      <c r="J45" s="5" t="n">
        <v>5</v>
      </c>
      <c r="K45" s="4" t="n">
        <v>21</v>
      </c>
      <c r="L45" s="6" t="n">
        <v>182511442.36</v>
      </c>
      <c r="M45" s="6" t="n">
        <v>128843965.69</v>
      </c>
      <c r="N45" s="6" t="n">
        <v>49958654.85</v>
      </c>
      <c r="O45" s="6" t="n">
        <v>3708821.82</v>
      </c>
      <c r="P45" s="6" t="n">
        <v>22894422.83</v>
      </c>
      <c r="Q45" s="6" t="n">
        <v>38962764740</v>
      </c>
      <c r="R45" s="5" t="n">
        <v>172</v>
      </c>
    </row>
    <row r="46" customFormat="false" ht="14.25" hidden="false" customHeight="false" outlineLevel="0" collapsed="false">
      <c r="A46" s="7" t="s">
        <v>62</v>
      </c>
      <c r="B46" s="8" t="n">
        <v>162</v>
      </c>
      <c r="C46" s="8" t="n">
        <v>122</v>
      </c>
      <c r="D46" s="8" t="n">
        <v>40</v>
      </c>
      <c r="E46" s="8" t="n">
        <v>16</v>
      </c>
      <c r="F46" s="8" t="n">
        <v>5</v>
      </c>
      <c r="G46" s="9" t="n">
        <v>11</v>
      </c>
      <c r="H46" s="8" t="n">
        <v>14</v>
      </c>
      <c r="I46" s="8" t="n">
        <v>7</v>
      </c>
      <c r="J46" s="9" t="n">
        <v>7</v>
      </c>
      <c r="K46" s="8" t="n">
        <v>13</v>
      </c>
      <c r="L46" s="10" t="n">
        <v>982072</v>
      </c>
      <c r="M46" s="10" t="n">
        <v>532299</v>
      </c>
      <c r="N46" s="10" t="n">
        <v>371838</v>
      </c>
      <c r="O46" s="10" t="n">
        <v>77935</v>
      </c>
      <c r="P46" s="10" t="n">
        <v>2092903</v>
      </c>
      <c r="Q46" s="10" t="n">
        <v>2578963871</v>
      </c>
      <c r="R46" s="9" t="n">
        <v>13</v>
      </c>
    </row>
    <row r="47" customFormat="false" ht="14.25" hidden="false" customHeight="false" outlineLevel="0" collapsed="false">
      <c r="A47" s="3" t="s">
        <v>63</v>
      </c>
      <c r="B47" s="4" t="n">
        <v>84</v>
      </c>
      <c r="C47" s="4" t="n">
        <v>62</v>
      </c>
      <c r="D47" s="4" t="n">
        <v>22</v>
      </c>
      <c r="E47" s="4" t="n">
        <v>11</v>
      </c>
      <c r="F47" s="4" t="n">
        <v>11</v>
      </c>
      <c r="G47" s="5" t="n">
        <v>0</v>
      </c>
      <c r="H47" s="4" t="n">
        <v>10</v>
      </c>
      <c r="I47" s="4" t="n">
        <v>10</v>
      </c>
      <c r="J47" s="5" t="n">
        <v>0</v>
      </c>
      <c r="K47" s="4" t="n">
        <v>6</v>
      </c>
      <c r="L47" s="6" t="n">
        <v>2431252</v>
      </c>
      <c r="M47" s="6" t="n">
        <v>265206</v>
      </c>
      <c r="N47" s="6" t="n">
        <v>1777853</v>
      </c>
      <c r="O47" s="6" t="n">
        <v>388193</v>
      </c>
      <c r="P47" s="6" t="n">
        <v>1043428.68</v>
      </c>
      <c r="Q47" s="6" t="n">
        <v>1769804444</v>
      </c>
      <c r="R47" s="5" t="n">
        <v>9</v>
      </c>
    </row>
    <row r="48" customFormat="false" ht="14.25" hidden="false" customHeight="false" outlineLevel="0" collapsed="false">
      <c r="A48" s="7" t="s">
        <v>64</v>
      </c>
      <c r="B48" s="8" t="n">
        <v>385</v>
      </c>
      <c r="C48" s="8" t="n">
        <v>385</v>
      </c>
      <c r="D48" s="8" t="n">
        <v>0</v>
      </c>
      <c r="E48" s="8" t="n">
        <v>52</v>
      </c>
      <c r="F48" s="8" t="n">
        <v>52</v>
      </c>
      <c r="G48" s="9" t="n">
        <v>0</v>
      </c>
      <c r="H48" s="8" t="n">
        <v>27</v>
      </c>
      <c r="I48" s="8" t="n">
        <v>27</v>
      </c>
      <c r="J48" s="9" t="n">
        <v>0</v>
      </c>
      <c r="K48" s="8" t="n">
        <v>19</v>
      </c>
      <c r="L48" s="10" t="n">
        <v>14112278.09</v>
      </c>
      <c r="M48" s="10" t="n">
        <v>5094773.83</v>
      </c>
      <c r="N48" s="10" t="n">
        <v>4421179.71</v>
      </c>
      <c r="O48" s="10" t="n">
        <v>4596324.55</v>
      </c>
      <c r="P48" s="10" t="n">
        <v>11525763.6</v>
      </c>
      <c r="Q48" s="10" t="n">
        <v>9934971320</v>
      </c>
      <c r="R48" s="9" t="n">
        <v>86</v>
      </c>
    </row>
    <row r="49" customFormat="false" ht="14.25" hidden="false" customHeight="false" outlineLevel="0" collapsed="false">
      <c r="A49" s="3" t="s">
        <v>65</v>
      </c>
      <c r="B49" s="4" t="n">
        <v>530</v>
      </c>
      <c r="C49" s="4" t="n">
        <v>321</v>
      </c>
      <c r="D49" s="4" t="n">
        <v>209</v>
      </c>
      <c r="E49" s="4" t="n">
        <v>3</v>
      </c>
      <c r="F49" s="4" t="n">
        <v>2</v>
      </c>
      <c r="G49" s="5" t="n">
        <v>1</v>
      </c>
      <c r="H49" s="4" t="n">
        <v>4</v>
      </c>
      <c r="I49" s="4" t="n">
        <v>3</v>
      </c>
      <c r="J49" s="5" t="n">
        <v>1</v>
      </c>
      <c r="K49" s="4" t="n">
        <v>15</v>
      </c>
      <c r="L49" s="6" t="n">
        <v>12343705.27</v>
      </c>
      <c r="M49" s="6" t="n">
        <v>19713.35</v>
      </c>
      <c r="N49" s="6" t="n">
        <v>12250833.92</v>
      </c>
      <c r="O49" s="6" t="n">
        <v>73158</v>
      </c>
      <c r="P49" s="6" t="n">
        <v>5205464</v>
      </c>
      <c r="Q49" s="6" t="n">
        <v>12827331385</v>
      </c>
      <c r="R49" s="5" t="n">
        <v>36</v>
      </c>
    </row>
    <row r="50" customFormat="false" ht="14.25" hidden="false" customHeight="false" outlineLevel="0" collapsed="false">
      <c r="A50" s="7" t="s">
        <v>66</v>
      </c>
      <c r="B50" s="8" t="n">
        <v>112</v>
      </c>
      <c r="C50" s="8" t="n">
        <v>105</v>
      </c>
      <c r="D50" s="8" t="n">
        <v>7</v>
      </c>
      <c r="E50" s="8" t="n">
        <v>7</v>
      </c>
      <c r="F50" s="8" t="n">
        <v>5</v>
      </c>
      <c r="G50" s="9" t="n">
        <v>2</v>
      </c>
      <c r="H50" s="8" t="n">
        <v>4</v>
      </c>
      <c r="I50" s="8" t="n">
        <v>4</v>
      </c>
      <c r="J50" s="9" t="n">
        <v>0</v>
      </c>
      <c r="K50" s="8" t="n">
        <v>8</v>
      </c>
      <c r="L50" s="10" t="n">
        <v>1913941.59</v>
      </c>
      <c r="M50" s="10" t="n">
        <v>770034.37</v>
      </c>
      <c r="N50" s="10" t="n">
        <v>961829.22</v>
      </c>
      <c r="O50" s="10" t="n">
        <v>182078</v>
      </c>
      <c r="P50" s="10" t="n">
        <v>1006092.06</v>
      </c>
      <c r="Q50" s="10" t="n">
        <v>3996923158</v>
      </c>
      <c r="R50" s="9" t="n">
        <v>13</v>
      </c>
    </row>
    <row r="51" customFormat="false" ht="14.25" hidden="false" customHeight="false" outlineLevel="0" collapsed="false">
      <c r="A51" s="3" t="s">
        <v>67</v>
      </c>
      <c r="B51" s="4" t="n">
        <v>218</v>
      </c>
      <c r="C51" s="4" t="n">
        <v>199</v>
      </c>
      <c r="D51" s="4" t="n">
        <v>19</v>
      </c>
      <c r="E51" s="4" t="n">
        <v>26</v>
      </c>
      <c r="F51" s="4" t="n">
        <v>18</v>
      </c>
      <c r="G51" s="5" t="n">
        <v>8</v>
      </c>
      <c r="H51" s="4" t="n">
        <v>6</v>
      </c>
      <c r="I51" s="4" t="n">
        <v>1</v>
      </c>
      <c r="J51" s="5" t="n">
        <v>5</v>
      </c>
      <c r="K51" s="4" t="n">
        <v>12</v>
      </c>
      <c r="L51" s="6" t="n">
        <v>12568848</v>
      </c>
      <c r="M51" s="6" t="n">
        <v>19741</v>
      </c>
      <c r="N51" s="6" t="n">
        <v>10480641</v>
      </c>
      <c r="O51" s="6" t="n">
        <v>2068466</v>
      </c>
      <c r="P51" s="6" t="n">
        <v>1484562.53</v>
      </c>
      <c r="Q51" s="6" t="n">
        <v>9180255127</v>
      </c>
      <c r="R51" s="5" t="n">
        <v>13</v>
      </c>
    </row>
    <row r="52" customFormat="false" ht="14.25" hidden="false" customHeight="false" outlineLevel="0" collapsed="false">
      <c r="A52" s="7" t="s">
        <v>68</v>
      </c>
      <c r="B52" s="8" t="n">
        <v>36</v>
      </c>
      <c r="C52" s="8" t="n">
        <v>32</v>
      </c>
      <c r="D52" s="8" t="n">
        <v>4</v>
      </c>
      <c r="E52" s="8" t="n">
        <v>5</v>
      </c>
      <c r="F52" s="8" t="n">
        <v>5</v>
      </c>
      <c r="G52" s="9" t="n">
        <v>0</v>
      </c>
      <c r="H52" s="8" t="n">
        <v>4</v>
      </c>
      <c r="I52" s="8" t="n">
        <v>4</v>
      </c>
      <c r="J52" s="9" t="n">
        <v>0</v>
      </c>
      <c r="K52" s="8" t="n">
        <v>6</v>
      </c>
      <c r="L52" s="10" t="n">
        <v>2909976.8</v>
      </c>
      <c r="M52" s="10" t="n">
        <v>2283802.49</v>
      </c>
      <c r="N52" s="10" t="n">
        <v>626174.31</v>
      </c>
      <c r="O52" s="10" t="n">
        <v>0</v>
      </c>
      <c r="P52" s="10" t="n">
        <v>457082.35</v>
      </c>
      <c r="Q52" s="10" t="n">
        <v>669181828</v>
      </c>
      <c r="R52" s="9" t="n">
        <v>4</v>
      </c>
    </row>
    <row r="53" customFormat="false" ht="14.25" hidden="false" customHeight="false" outlineLevel="0" collapsed="false">
      <c r="A53" s="11" t="s">
        <v>69</v>
      </c>
      <c r="B53" s="12" t="n">
        <f aca="false">SUM(B3:B52)</f>
        <v>18785</v>
      </c>
      <c r="C53" s="12" t="n">
        <f aca="false">SUM(C3:C52)</f>
        <v>15205</v>
      </c>
      <c r="D53" s="12" t="n">
        <f aca="false">SUM(D3:D52)</f>
        <v>3580</v>
      </c>
      <c r="E53" s="12" t="n">
        <f aca="false">SUM(E3:E52)</f>
        <v>1796</v>
      </c>
      <c r="F53" s="12" t="n">
        <f aca="false">SUM(F3:F52)</f>
        <v>1316</v>
      </c>
      <c r="G53" s="13" t="n">
        <f aca="false">SUM(G3:G52)</f>
        <v>480</v>
      </c>
      <c r="H53" s="12" t="n">
        <f aca="false">SUM(H3:H52)</f>
        <v>1503</v>
      </c>
      <c r="I53" s="12" t="n">
        <f aca="false">SUM(I3:I52)</f>
        <v>1109</v>
      </c>
      <c r="J53" s="13" t="n">
        <f aca="false">SUM(J3:J52)</f>
        <v>394</v>
      </c>
      <c r="K53" s="12" t="n">
        <f aca="false">SUM(K3:K52)</f>
        <v>810</v>
      </c>
      <c r="L53" s="14" t="n">
        <f aca="false">SUM(L3:L52)</f>
        <v>859172372.06</v>
      </c>
      <c r="M53" s="14" t="n">
        <f aca="false">SUM(M3:M52)</f>
        <v>314345098.91</v>
      </c>
      <c r="N53" s="14" t="n">
        <f aca="false">SUM(N3:N52)</f>
        <v>366570482.21</v>
      </c>
      <c r="O53" s="14" t="n">
        <f aca="false">SUM(O3:O52)</f>
        <v>178256790.94</v>
      </c>
      <c r="P53" s="14" t="n">
        <f aca="false">SUM(P3:P52)</f>
        <v>294219708.11</v>
      </c>
      <c r="Q53" s="14" t="n">
        <f aca="false">SUM(Q3:Q52)</f>
        <v>611976826895</v>
      </c>
      <c r="R53" s="15" t="n">
        <f aca="false">SUM(R3:R52)</f>
        <v>2021</v>
      </c>
    </row>
    <row r="55" customFormat="false" ht="14.9" hidden="false" customHeight="false" outlineLevel="0" collapsed="false">
      <c r="A55" s="16" t="s">
        <v>70</v>
      </c>
      <c r="B55" s="17"/>
      <c r="C55" s="17"/>
      <c r="D55" s="17"/>
      <c r="E55" s="17"/>
      <c r="F55" s="17"/>
      <c r="G55" s="17"/>
    </row>
    <row r="56" customFormat="false" ht="14.9" hidden="false" customHeight="false" outlineLevel="0" collapsed="false">
      <c r="A56" s="16" t="s">
        <v>71</v>
      </c>
    </row>
    <row r="57" customFormat="false" ht="14.9" hidden="false" customHeight="false" outlineLevel="0" collapsed="false">
      <c r="A57" s="16" t="s">
        <v>72</v>
      </c>
    </row>
    <row r="58" customFormat="false" ht="14.9" hidden="false" customHeight="false" outlineLevel="0" collapsed="false">
      <c r="A58" s="16" t="s">
        <v>73</v>
      </c>
    </row>
    <row r="59" customFormat="false" ht="14.9" hidden="false" customHeight="false" outlineLevel="0" collapsed="false">
      <c r="A59" s="16" t="s">
        <v>74</v>
      </c>
    </row>
    <row r="61" customFormat="false" ht="14.25" hidden="false" customHeight="false" outlineLevel="0" collapsed="false">
      <c r="A61" s="0" t="s">
        <v>75</v>
      </c>
    </row>
  </sheetData>
  <sheetProtection algorithmName="SHA-512" hashValue="zb2Zd4G01XHh4yRKL6NRAT+bXEJvcbfwQpKQVYqUH8o0G/uSHJi5dt++y4lJbRclCjqJw7g3Q2FZBsTV0jcMBg==" saltValue="55XQcbIkI3qgGBjjd+x0zw==" spinCount="100000" sheet="true" objects="true" scenarios="true"/>
  <printOptions headings="false" gridLines="false" gridLinesSet="true" horizontalCentered="false" verticalCentered="false"/>
  <pageMargins left="0.2" right="0.2" top="0.2" bottom="0.2" header="0.511811023622047" footer="0.511811023622047"/>
  <pageSetup paperSize="7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2019-01-23T21:21:11Z</dcterms:created>
  <dc:creator>Apache POI</dc:creator>
  <dc:description/>
  <dc:language>en-US</dc:language>
  <cp:lastModifiedBy>Peters, Keith J (OIG/OEI)</cp:lastModifiedBy>
  <cp:lastPrinted>2019-01-30T15:49:41Z</cp:lastPrinted>
  <dcterms:modified xsi:type="dcterms:W3CDTF">2025-07-24T18:26:42Z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